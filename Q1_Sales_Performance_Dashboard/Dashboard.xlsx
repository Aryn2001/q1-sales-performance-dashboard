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tkar\Downloads\"/>
    </mc:Choice>
  </mc:AlternateContent>
  <xr:revisionPtr revIDLastSave="0" documentId="13_ncr:1_{E59C4E32-A450-4BDB-961C-F8CD1CB9DE6F}" xr6:coauthVersionLast="47" xr6:coauthVersionMax="47" xr10:uidLastSave="{00000000-0000-0000-0000-000000000000}"/>
  <bookViews>
    <workbookView xWindow="-120" yWindow="-120" windowWidth="38640" windowHeight="15720" firstSheet="4" activeTab="4" xr2:uid="{AC6FEE74-DBA3-4523-AAFF-D2377E546646}"/>
  </bookViews>
  <sheets>
    <sheet name="Pivot_Region" sheetId="3" state="hidden" r:id="rId1"/>
    <sheet name="Pivot_Category" sheetId="4" state="hidden" r:id="rId2"/>
    <sheet name="Pivot_Month" sheetId="5" state="hidden" r:id="rId3"/>
    <sheet name="Pivot_Year" sheetId="6" state="hidden" r:id="rId4"/>
    <sheet name="Sales_Data" sheetId="1" r:id="rId5"/>
    <sheet name="Dashboard" sheetId="2" r:id="rId6"/>
  </sheets>
  <definedNames>
    <definedName name="Slicer_Product_Category">#N/A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K2" i="1"/>
  <c r="N4"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J2" i="1"/>
  <c r="N3"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N5" i="1" l="1"/>
</calcChain>
</file>

<file path=xl/sharedStrings.xml><?xml version="1.0" encoding="utf-8"?>
<sst xmlns="http://schemas.openxmlformats.org/spreadsheetml/2006/main" count="790" uniqueCount="36">
  <si>
    <t>Order Date</t>
  </si>
  <si>
    <t xml:space="preserve">Year </t>
  </si>
  <si>
    <t xml:space="preserve">Month </t>
  </si>
  <si>
    <t>Region</t>
  </si>
  <si>
    <t>Product Category</t>
  </si>
  <si>
    <t>Product Name</t>
  </si>
  <si>
    <t>Quantity</t>
  </si>
  <si>
    <t>Retail Price</t>
  </si>
  <si>
    <t>Cost Price</t>
  </si>
  <si>
    <t>North</t>
  </si>
  <si>
    <t>South</t>
  </si>
  <si>
    <t xml:space="preserve">East </t>
  </si>
  <si>
    <t>West</t>
  </si>
  <si>
    <t>Mountain Bikes</t>
  </si>
  <si>
    <t>Road Bikes</t>
  </si>
  <si>
    <t>Accessories</t>
  </si>
  <si>
    <t>A2 Mountain Frame</t>
  </si>
  <si>
    <t>X1 Road Bike</t>
  </si>
  <si>
    <t>Trail Helmet</t>
  </si>
  <si>
    <t>Speed Gloves</t>
  </si>
  <si>
    <t>Carbon Frame Pro</t>
  </si>
  <si>
    <t>Revenue</t>
  </si>
  <si>
    <t>Profit</t>
  </si>
  <si>
    <t>KPI</t>
  </si>
  <si>
    <t>Formula</t>
  </si>
  <si>
    <t>Total Revenue</t>
  </si>
  <si>
    <t>Total Profit</t>
  </si>
  <si>
    <t>Profit Margin</t>
  </si>
  <si>
    <t>YOY Growth</t>
  </si>
  <si>
    <t>Row Labels</t>
  </si>
  <si>
    <t>Grand Total</t>
  </si>
  <si>
    <t>Sum of Revenue</t>
  </si>
  <si>
    <t>=</t>
  </si>
  <si>
    <t>Revenue 2022</t>
  </si>
  <si>
    <t>Revenue 2023</t>
  </si>
  <si>
    <t>Q1 Sales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</si>
</sst>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Aptos Narrow"/>
      <family val="2"/>
      <scheme val="minor"/>
    </font>
    <font>
      <b/>
      <sz val="16"/>
      <name val="Aptos Narrow"/>
      <family val="2"/>
      <scheme val="minor"/>
    </font>
    <font>
      <sz val="11"/>
      <color theme="1"/>
      <name val="Aptos Narrow"/>
      <family val="2"/>
      <scheme val="minor"/>
    </font>
    <font>
      <sz val="11"/>
      <color theme="0"/>
      <name val="Aptos Narrow"/>
      <family val="2"/>
      <scheme val="minor"/>
    </font>
    <font>
      <b/>
      <sz val="18"/>
      <color theme="1"/>
      <name val="Aptos Narrow"/>
      <family val="2"/>
      <scheme val="minor"/>
    </font>
    <font>
      <b/>
      <sz val="22"/>
      <color theme="0"/>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5F5F5"/>
        <bgColor indexed="64"/>
      </patternFill>
    </fill>
    <fill>
      <patternFill patternType="solid">
        <fgColor theme="0" tint="-4.9989318521683403E-2"/>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4" fontId="0" fillId="0" borderId="0" xfId="0" applyNumberFormat="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14" fontId="0" fillId="0" borderId="2" xfId="0" applyNumberForma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14"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0" xfId="0" pivotButton="1"/>
    <xf numFmtId="0" fontId="0" fillId="0" borderId="0" xfId="0" applyAlignment="1">
      <alignment horizontal="left"/>
    </xf>
    <xf numFmtId="0" fontId="4" fillId="3" borderId="0" xfId="0" applyFont="1" applyFill="1" applyAlignment="1">
      <alignment horizontal="center" vertical="center"/>
    </xf>
    <xf numFmtId="164" fontId="4" fillId="3" borderId="0" xfId="0" applyNumberFormat="1" applyFont="1" applyFill="1" applyAlignment="1">
      <alignment horizontal="center" vertical="center"/>
    </xf>
    <xf numFmtId="10" fontId="4" fillId="3" borderId="0" xfId="0" applyNumberFormat="1" applyFont="1" applyFill="1" applyAlignment="1">
      <alignment horizontal="center" vertical="center"/>
    </xf>
    <xf numFmtId="0" fontId="0" fillId="3" borderId="0" xfId="0" applyFill="1"/>
    <xf numFmtId="0" fontId="0" fillId="4" borderId="0" xfId="0" applyFill="1"/>
    <xf numFmtId="9" fontId="0" fillId="3" borderId="0" xfId="1" applyFont="1" applyFill="1"/>
    <xf numFmtId="9" fontId="4" fillId="3" borderId="0" xfId="0" applyNumberFormat="1" applyFont="1" applyFill="1" applyAlignment="1">
      <alignment horizontal="center" vertical="center"/>
    </xf>
    <xf numFmtId="0" fontId="0" fillId="5" borderId="0" xfId="0" applyFill="1"/>
    <xf numFmtId="0" fontId="5" fillId="6" borderId="0" xfId="0" applyFont="1" applyFill="1" applyAlignment="1">
      <alignment horizontal="center" vertical="center"/>
    </xf>
    <xf numFmtId="0" fontId="3" fillId="6" borderId="0" xfId="0" applyFont="1" applyFill="1" applyAlignment="1">
      <alignment horizontal="center" vertical="center"/>
    </xf>
    <xf numFmtId="0" fontId="0" fillId="0" borderId="0" xfId="0" applyAlignment="1">
      <alignment horizontal="center"/>
    </xf>
  </cellXfs>
  <cellStyles count="2">
    <cellStyle name="Normal" xfId="0" builtinId="0"/>
    <cellStyle name="Percent" xfId="1" builtinId="5"/>
  </cellStyles>
  <dxfs count="16">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6"/>
        <color auto="1"/>
        <name val="Aptos Narrow"/>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[Dashboard.xlsx]Pivot_Region!Pivot_region</c:name>
    <c:fmtId val="4"/>
  </c:pivotSource>
  <c:chart>
    <c:title>
      <c:tx>
        <c:rich>
          <a:bodyPr rot="0" spcFirstLastPara="1" vertOverflow="ellipsis" vert="horz" wrap="square" anchor="ctr" anchorCtr="1"/>
          <a:lstStyle/>
          <a:p>
            <a:pPr algn="ctr" rtl="0">
              <a:def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r>
              <a: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rgbClr val="002060"/>
            </a:solidFill>
            <a:ln>
              <a:noFill/>
            </a:ln>
            <a:effectLst/>
          </c:spPr>
          <c:invertIfNegative val="0"/>
          <c:cat>
            <c:strRef>
              <c:f>Pivot_Region!$A$4:$A$8</c:f>
              <c:strCache>
                <c:ptCount val="4"/>
                <c:pt idx="0">
                  <c:v>East </c:v>
                </c:pt>
                <c:pt idx="1">
                  <c:v>North</c:v>
                </c:pt>
                <c:pt idx="2">
                  <c:v>South</c:v>
                </c:pt>
                <c:pt idx="3">
                  <c:v>West</c:v>
                </c:pt>
              </c:strCache>
            </c:strRef>
          </c:cat>
          <c:val>
            <c:numRef>
              <c:f>Pivot_Region!$B$4:$B$8</c:f>
              <c:numCache>
                <c:formatCode>General</c:formatCode>
                <c:ptCount val="4"/>
                <c:pt idx="0">
                  <c:v>696568</c:v>
                </c:pt>
                <c:pt idx="1">
                  <c:v>549959</c:v>
                </c:pt>
                <c:pt idx="2">
                  <c:v>823740</c:v>
                </c:pt>
                <c:pt idx="3">
                  <c:v>749148</c:v>
                </c:pt>
              </c:numCache>
            </c:numRef>
          </c:val>
          <c:extLst>
            <c:ext xmlns:c16="http://schemas.microsoft.com/office/drawing/2014/chart" uri="{C3380CC4-5D6E-409C-BE32-E72D297353CC}">
              <c16:uniqueId val="{00000000-F935-43F9-B820-0A61A13B5DEE}"/>
            </c:ext>
          </c:extLst>
        </c:ser>
        <c:dLbls>
          <c:showLegendKey val="0"/>
          <c:showVal val="0"/>
          <c:showCatName val="0"/>
          <c:showSerName val="0"/>
          <c:showPercent val="0"/>
          <c:showBubbleSize val="0"/>
        </c:dLbls>
        <c:gapWidth val="219"/>
        <c:overlap val="-27"/>
        <c:axId val="728309887"/>
        <c:axId val="728310847"/>
      </c:barChart>
      <c:catAx>
        <c:axId val="7283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10847"/>
        <c:crosses val="autoZero"/>
        <c:auto val="1"/>
        <c:lblAlgn val="ctr"/>
        <c:lblOffset val="100"/>
        <c:noMultiLvlLbl val="0"/>
      </c:catAx>
      <c:valAx>
        <c:axId val="72831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0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[Dashboard.xlsx]Pivot_Category!PivotTable2</c:name>
    <c:fmtId val="2"/>
  </c:pivotSource>
  <c:chart>
    <c:title>
      <c:tx>
        <c:rich>
          <a:bodyPr rot="0" spcFirstLastPara="1" vertOverflow="ellipsis" vert="horz" wrap="square" anchor="ctr" anchorCtr="1"/>
          <a:lstStyle/>
          <a:p>
            <a:pPr algn="ctr" rtl="0">
              <a:def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r>
              <a: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Pivot_Category!$B$3</c:f>
              <c:strCache>
                <c:ptCount val="1"/>
                <c:pt idx="0">
                  <c:v>Total</c:v>
                </c:pt>
              </c:strCache>
            </c:strRef>
          </c:tx>
          <c:spPr>
            <a:solidFill>
              <a:srgbClr val="002060"/>
            </a:solidFill>
            <a:ln>
              <a:noFill/>
            </a:ln>
            <a:effectLst/>
          </c:spPr>
          <c:invertIfNegative val="0"/>
          <c:cat>
            <c:strRef>
              <c:f>Pivot_Category!$A$4:$A$7</c:f>
              <c:strCache>
                <c:ptCount val="3"/>
                <c:pt idx="0">
                  <c:v>Accessories</c:v>
                </c:pt>
                <c:pt idx="1">
                  <c:v>Mountain Bikes</c:v>
                </c:pt>
                <c:pt idx="2">
                  <c:v>Road Bikes</c:v>
                </c:pt>
              </c:strCache>
            </c:strRef>
          </c:cat>
          <c:val>
            <c:numRef>
              <c:f>Pivot_Category!$B$4:$B$7</c:f>
              <c:numCache>
                <c:formatCode>General</c:formatCode>
                <c:ptCount val="3"/>
                <c:pt idx="0">
                  <c:v>905840</c:v>
                </c:pt>
                <c:pt idx="1">
                  <c:v>975755</c:v>
                </c:pt>
                <c:pt idx="2">
                  <c:v>937820</c:v>
                </c:pt>
              </c:numCache>
            </c:numRef>
          </c:val>
          <c:extLst>
            <c:ext xmlns:c16="http://schemas.microsoft.com/office/drawing/2014/chart" uri="{C3380CC4-5D6E-409C-BE32-E72D297353CC}">
              <c16:uniqueId val="{00000000-2ED6-4823-8C43-81D57C386CF8}"/>
            </c:ext>
          </c:extLst>
        </c:ser>
        <c:dLbls>
          <c:showLegendKey val="0"/>
          <c:showVal val="0"/>
          <c:showCatName val="0"/>
          <c:showSerName val="0"/>
          <c:showPercent val="0"/>
          <c:showBubbleSize val="0"/>
        </c:dLbls>
        <c:gapWidth val="182"/>
        <c:axId val="728342047"/>
        <c:axId val="728342527"/>
      </c:barChart>
      <c:catAx>
        <c:axId val="728342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42527"/>
        <c:crosses val="autoZero"/>
        <c:auto val="1"/>
        <c:lblAlgn val="ctr"/>
        <c:lblOffset val="100"/>
        <c:noMultiLvlLbl val="0"/>
      </c:catAx>
      <c:valAx>
        <c:axId val="7283425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4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[Dashboard.xlsx]Pivot_Month!PivotTable3</c:name>
    <c:fmtId val="2"/>
  </c:pivotSource>
  <c:chart>
    <c:title>
      <c:tx>
        <c:rich>
          <a:bodyPr rot="0" spcFirstLastPara="1" vertOverflow="ellipsis" vert="horz" wrap="square" anchor="ctr" anchorCtr="1"/>
          <a:lstStyle/>
          <a:p>
            <a:pPr algn="ctr" rtl="0">
              <a:def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r>
              <a: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rPr>
              <a:t>Monthly Revenue Trend</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pivotFmt>
      <c:pivotFmt>
        <c:idx val="3"/>
        <c:spPr>
          <a:ln w="28575" cap="rnd">
            <a:solidFill>
              <a:srgbClr val="002060"/>
            </a:solidFill>
            <a:round/>
          </a:ln>
          <a:effectLst/>
        </c:spPr>
        <c:marker>
          <c:symbol val="none"/>
        </c:marker>
      </c:pivotFmt>
    </c:pivotFmts>
    <c:plotArea>
      <c:layout/>
      <c:lineChart>
        <c:grouping val="standard"/>
        <c:varyColors val="0"/>
        <c:ser>
          <c:idx val="0"/>
          <c:order val="0"/>
          <c:tx>
            <c:strRef>
              <c:f>Pivot_Month!$B$3</c:f>
              <c:strCache>
                <c:ptCount val="1"/>
                <c:pt idx="0">
                  <c:v>Total</c:v>
                </c:pt>
              </c:strCache>
            </c:strRef>
          </c:tx>
          <c:spPr>
            <a:ln w="28575" cap="rnd">
              <a:solidFill>
                <a:srgbClr val="002060"/>
              </a:solidFill>
              <a:round/>
            </a:ln>
            <a:effectLst/>
          </c:spPr>
          <c:marker>
            <c:symbol val="none"/>
          </c:marker>
          <c:cat>
            <c:strRef>
              <c:f>Pivot_Month!$A$4:$A$7</c:f>
              <c:strCache>
                <c:ptCount val="3"/>
                <c:pt idx="0">
                  <c:v>1</c:v>
                </c:pt>
                <c:pt idx="1">
                  <c:v>2</c:v>
                </c:pt>
                <c:pt idx="2">
                  <c:v>3</c:v>
                </c:pt>
              </c:strCache>
            </c:strRef>
          </c:cat>
          <c:val>
            <c:numRef>
              <c:f>Pivot_Month!$B$4:$B$7</c:f>
              <c:numCache>
                <c:formatCode>General</c:formatCode>
                <c:ptCount val="3"/>
                <c:pt idx="0">
                  <c:v>930805</c:v>
                </c:pt>
                <c:pt idx="1">
                  <c:v>912167</c:v>
                </c:pt>
                <c:pt idx="2">
                  <c:v>976443</c:v>
                </c:pt>
              </c:numCache>
            </c:numRef>
          </c:val>
          <c:smooth val="0"/>
          <c:extLst>
            <c:ext xmlns:c16="http://schemas.microsoft.com/office/drawing/2014/chart" uri="{C3380CC4-5D6E-409C-BE32-E72D297353CC}">
              <c16:uniqueId val="{00000000-0C1E-4C40-B412-989093BDA562}"/>
            </c:ext>
          </c:extLst>
        </c:ser>
        <c:dLbls>
          <c:showLegendKey val="0"/>
          <c:showVal val="0"/>
          <c:showCatName val="0"/>
          <c:showSerName val="0"/>
          <c:showPercent val="0"/>
          <c:showBubbleSize val="0"/>
        </c:dLbls>
        <c:smooth val="0"/>
        <c:axId val="728345887"/>
        <c:axId val="728346367"/>
      </c:lineChart>
      <c:catAx>
        <c:axId val="72834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46367"/>
        <c:crosses val="autoZero"/>
        <c:auto val="1"/>
        <c:lblAlgn val="ctr"/>
        <c:lblOffset val="100"/>
        <c:noMultiLvlLbl val="0"/>
      </c:catAx>
      <c:valAx>
        <c:axId val="72834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4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[Dashboard.xlsx]Pivot_Year!PivotTable4</c:name>
    <c:fmtId val="2"/>
  </c:pivotSource>
  <c:chart>
    <c:title>
      <c:tx>
        <c:rich>
          <a:bodyPr rot="0" spcFirstLastPara="1" vertOverflow="ellipsis" vert="horz" wrap="square" anchor="ctr" anchorCtr="1"/>
          <a:lstStyle/>
          <a:p>
            <a:pPr>
              <a:defRPr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r>
              <a:rPr lang="en-US" sz="1800">
                <a:solidFill>
                  <a:schemeClr val="tx1"/>
                </a:solidFill>
                <a:effectLst>
                  <a:outerShdw blurRad="50800" dist="38100" dir="2700000" algn="tl" rotWithShape="0">
                    <a:prstClr val="black">
                      <a:alpha val="40000"/>
                    </a:prstClr>
                  </a:outerShdw>
                </a:effectLst>
              </a:rPr>
              <a:t>Year</a:t>
            </a:r>
            <a:r>
              <a:rPr lang="en-US" sz="1800" baseline="0">
                <a:solidFill>
                  <a:schemeClr val="tx1"/>
                </a:solidFill>
                <a:effectLst>
                  <a:outerShdw blurRad="50800" dist="38100" dir="2700000" algn="tl" rotWithShape="0">
                    <a:prstClr val="black">
                      <a:alpha val="40000"/>
                    </a:prstClr>
                  </a:outerShdw>
                </a:effectLst>
              </a:rPr>
              <a:t>-over-Year Revenue</a:t>
            </a:r>
            <a:endParaRPr lang="en-US" sz="1800">
              <a:solidFill>
                <a:schemeClr val="tx1"/>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Pivot_Year!$B$3</c:f>
              <c:strCache>
                <c:ptCount val="1"/>
                <c:pt idx="0">
                  <c:v>Total</c:v>
                </c:pt>
              </c:strCache>
            </c:strRef>
          </c:tx>
          <c:spPr>
            <a:solidFill>
              <a:srgbClr val="002060"/>
            </a:solidFill>
            <a:ln>
              <a:noFill/>
            </a:ln>
            <a:effectLst/>
          </c:spPr>
          <c:invertIfNegative val="0"/>
          <c:cat>
            <c:strRef>
              <c:f>Pivot_Year!$A$4:$A$6</c:f>
              <c:strCache>
                <c:ptCount val="2"/>
                <c:pt idx="0">
                  <c:v>2022</c:v>
                </c:pt>
                <c:pt idx="1">
                  <c:v>2023</c:v>
                </c:pt>
              </c:strCache>
            </c:strRef>
          </c:cat>
          <c:val>
            <c:numRef>
              <c:f>Pivot_Year!$B$4:$B$6</c:f>
              <c:numCache>
                <c:formatCode>General</c:formatCode>
                <c:ptCount val="2"/>
                <c:pt idx="0">
                  <c:v>1493181</c:v>
                </c:pt>
                <c:pt idx="1">
                  <c:v>1326234</c:v>
                </c:pt>
              </c:numCache>
            </c:numRef>
          </c:val>
          <c:extLst>
            <c:ext xmlns:c16="http://schemas.microsoft.com/office/drawing/2014/chart" uri="{C3380CC4-5D6E-409C-BE32-E72D297353CC}">
              <c16:uniqueId val="{00000000-CF78-4343-9A2A-E3EAF0A71049}"/>
            </c:ext>
          </c:extLst>
        </c:ser>
        <c:dLbls>
          <c:showLegendKey val="0"/>
          <c:showVal val="0"/>
          <c:showCatName val="0"/>
          <c:showSerName val="0"/>
          <c:showPercent val="0"/>
          <c:showBubbleSize val="0"/>
        </c:dLbls>
        <c:gapWidth val="219"/>
        <c:overlap val="-27"/>
        <c:axId val="529624479"/>
        <c:axId val="529643679"/>
      </c:barChart>
      <c:catAx>
        <c:axId val="52962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43679"/>
        <c:crosses val="autoZero"/>
        <c:auto val="1"/>
        <c:lblAlgn val="ctr"/>
        <c:lblOffset val="100"/>
        <c:noMultiLvlLbl val="0"/>
      </c:catAx>
      <c:valAx>
        <c:axId val="52964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2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323850</xdr:colOff>
      <xdr:row>5</xdr:row>
      <xdr:rowOff>0</xdr:rowOff>
    </xdr:from>
    <xdr:to>
      <xdr:col>20</xdr:col>
      <xdr:colOff>285750</xdr:colOff>
      <xdr:row>32</xdr:row>
      <xdr:rowOff>104775</xdr:rowOff>
    </xdr:to>
    <xdr:sp macro="" textlink="">
      <xdr:nvSpPr>
        <xdr:cNvPr id="9" name="Rectangle 8">
          <a:extLst>
            <a:ext uri="{FF2B5EF4-FFF2-40B4-BE49-F238E27FC236}">
              <a16:creationId xmlns:a16="http://schemas.microsoft.com/office/drawing/2014/main" id="{FDE320CA-F95E-3E11-860B-730913B1EE58}"/>
            </a:ext>
          </a:extLst>
        </xdr:cNvPr>
        <xdr:cNvSpPr/>
      </xdr:nvSpPr>
      <xdr:spPr>
        <a:xfrm>
          <a:off x="7305675" y="952500"/>
          <a:ext cx="9715500" cy="5248275"/>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6</xdr:row>
      <xdr:rowOff>4762</xdr:rowOff>
    </xdr:from>
    <xdr:to>
      <xdr:col>11</xdr:col>
      <xdr:colOff>0</xdr:colOff>
      <xdr:row>18</xdr:row>
      <xdr:rowOff>33337</xdr:rowOff>
    </xdr:to>
    <xdr:graphicFrame macro="">
      <xdr:nvGraphicFramePr>
        <xdr:cNvPr id="2" name="Chart 1">
          <a:extLst>
            <a:ext uri="{FF2B5EF4-FFF2-40B4-BE49-F238E27FC236}">
              <a16:creationId xmlns:a16="http://schemas.microsoft.com/office/drawing/2014/main" id="{9919FFD2-0EE3-A8AC-DA3C-C57E5CBF6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7</xdr:row>
      <xdr:rowOff>0</xdr:rowOff>
    </xdr:from>
    <xdr:to>
      <xdr:col>19</xdr:col>
      <xdr:colOff>304800</xdr:colOff>
      <xdr:row>19</xdr:row>
      <xdr:rowOff>0</xdr:rowOff>
    </xdr:to>
    <xdr:graphicFrame macro="">
      <xdr:nvGraphicFramePr>
        <xdr:cNvPr id="3" name="Chart 1">
          <a:extLst>
            <a:ext uri="{FF2B5EF4-FFF2-40B4-BE49-F238E27FC236}">
              <a16:creationId xmlns:a16="http://schemas.microsoft.com/office/drawing/2014/main" id="{2115B4A2-7020-3621-57AA-365F718D0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20</xdr:row>
      <xdr:rowOff>0</xdr:rowOff>
    </xdr:from>
    <xdr:to>
      <xdr:col>11</xdr:col>
      <xdr:colOff>0</xdr:colOff>
      <xdr:row>31</xdr:row>
      <xdr:rowOff>0</xdr:rowOff>
    </xdr:to>
    <xdr:graphicFrame macro="">
      <xdr:nvGraphicFramePr>
        <xdr:cNvPr id="4" name="Chart 1">
          <a:extLst>
            <a:ext uri="{FF2B5EF4-FFF2-40B4-BE49-F238E27FC236}">
              <a16:creationId xmlns:a16="http://schemas.microsoft.com/office/drawing/2014/main" id="{505A4DB8-3C4C-5B53-AA80-05E5DACC7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20</xdr:row>
      <xdr:rowOff>0</xdr:rowOff>
    </xdr:from>
    <xdr:to>
      <xdr:col>19</xdr:col>
      <xdr:colOff>304800</xdr:colOff>
      <xdr:row>31</xdr:row>
      <xdr:rowOff>0</xdr:rowOff>
    </xdr:to>
    <xdr:graphicFrame macro="">
      <xdr:nvGraphicFramePr>
        <xdr:cNvPr id="5" name="Chart 1">
          <a:extLst>
            <a:ext uri="{FF2B5EF4-FFF2-40B4-BE49-F238E27FC236}">
              <a16:creationId xmlns:a16="http://schemas.microsoft.com/office/drawing/2014/main" id="{2F3F792A-322A-A0BA-3FC2-421C55D76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0</xdr:colOff>
      <xdr:row>5</xdr:row>
      <xdr:rowOff>57150</xdr:rowOff>
    </xdr:from>
    <xdr:to>
      <xdr:col>27</xdr:col>
      <xdr:colOff>345499</xdr:colOff>
      <xdr:row>19</xdr:row>
      <xdr:rowOff>0</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A52D3034-CE10-462F-8908-3A19CFE3CEC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0678775" y="1009650"/>
              <a:ext cx="1402774" cy="260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443344</xdr:colOff>
      <xdr:row>5</xdr:row>
      <xdr:rowOff>57150</xdr:rowOff>
    </xdr:from>
    <xdr:to>
      <xdr:col>25</xdr:col>
      <xdr:colOff>609600</xdr:colOff>
      <xdr:row>19</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E8370AA-57FD-4B0E-A6F2-C1B29CBA53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07569" y="1009650"/>
              <a:ext cx="1385456" cy="260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5</xdr:row>
      <xdr:rowOff>57150</xdr:rowOff>
    </xdr:from>
    <xdr:to>
      <xdr:col>23</xdr:col>
      <xdr:colOff>114301</xdr:colOff>
      <xdr:row>18</xdr:row>
      <xdr:rowOff>190499</xdr:rowOff>
    </xdr:to>
    <mc:AlternateContent xmlns:mc="http://schemas.openxmlformats.org/markup-compatibility/2006" xmlns:a14="http://schemas.microsoft.com/office/drawing/2010/main">
      <mc:Choice Requires="a14">
        <xdr:graphicFrame macro="">
          <xdr:nvGraphicFramePr>
            <xdr:cNvPr id="8" name="Year ">
              <a:extLst>
                <a:ext uri="{FF2B5EF4-FFF2-40B4-BE49-F238E27FC236}">
                  <a16:creationId xmlns:a16="http://schemas.microsoft.com/office/drawing/2014/main" id="{14434A48-6BF3-4384-A114-8D4DC6F61EA0}"/>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17345025" y="1009650"/>
              <a:ext cx="1333501" cy="2609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0</xdr:rowOff>
    </xdr:from>
    <xdr:to>
      <xdr:col>3</xdr:col>
      <xdr:colOff>0</xdr:colOff>
      <xdr:row>12</xdr:row>
      <xdr:rowOff>1</xdr:rowOff>
    </xdr:to>
    <xdr:sp macro="" textlink="">
      <xdr:nvSpPr>
        <xdr:cNvPr id="32" name="Rectangle: Rounded Corners 31">
          <a:extLst>
            <a:ext uri="{FF2B5EF4-FFF2-40B4-BE49-F238E27FC236}">
              <a16:creationId xmlns:a16="http://schemas.microsoft.com/office/drawing/2014/main" id="{87CFEADF-B02A-3768-3458-9B24035F1631}"/>
            </a:ext>
          </a:extLst>
        </xdr:cNvPr>
        <xdr:cNvSpPr/>
      </xdr:nvSpPr>
      <xdr:spPr>
        <a:xfrm>
          <a:off x="1628775" y="190500"/>
          <a:ext cx="3695700" cy="2095501"/>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266700</xdr:colOff>
      <xdr:row>3</xdr:row>
      <xdr:rowOff>57150</xdr:rowOff>
    </xdr:from>
    <xdr:ext cx="1628775" cy="311496"/>
    <xdr:sp macro="" textlink="">
      <xdr:nvSpPr>
        <xdr:cNvPr id="17" name="TextBox 16">
          <a:extLst>
            <a:ext uri="{FF2B5EF4-FFF2-40B4-BE49-F238E27FC236}">
              <a16:creationId xmlns:a16="http://schemas.microsoft.com/office/drawing/2014/main" id="{C8E603CC-95E0-F7B4-CD9F-35CCCA691F8D}"/>
            </a:ext>
          </a:extLst>
        </xdr:cNvPr>
        <xdr:cNvSpPr txBox="1"/>
      </xdr:nvSpPr>
      <xdr:spPr>
        <a:xfrm>
          <a:off x="1895475" y="628650"/>
          <a:ext cx="16287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Total</a:t>
          </a:r>
          <a:r>
            <a:rPr lang="en-IN" sz="1400" b="1" baseline="0">
              <a:solidFill>
                <a:schemeClr val="bg1"/>
              </a:solidFill>
            </a:rPr>
            <a:t> Revenue</a:t>
          </a:r>
          <a:endParaRPr lang="en-IN" sz="1400" b="1">
            <a:solidFill>
              <a:schemeClr val="bg1"/>
            </a:solidFill>
          </a:endParaRPr>
        </a:p>
      </xdr:txBody>
    </xdr:sp>
    <xdr:clientData/>
  </xdr:oneCellAnchor>
  <xdr:oneCellAnchor>
    <xdr:from>
      <xdr:col>1</xdr:col>
      <xdr:colOff>1524000</xdr:colOff>
      <xdr:row>2</xdr:row>
      <xdr:rowOff>180975</xdr:rowOff>
    </xdr:from>
    <xdr:ext cx="3552825" cy="468013"/>
    <xdr:sp macro="" textlink="#REF!">
      <xdr:nvSpPr>
        <xdr:cNvPr id="24" name="TextBox 23">
          <a:extLst>
            <a:ext uri="{FF2B5EF4-FFF2-40B4-BE49-F238E27FC236}">
              <a16:creationId xmlns:a16="http://schemas.microsoft.com/office/drawing/2014/main" id="{07004767-4E1D-6280-C28B-9910C219B899}"/>
            </a:ext>
          </a:extLst>
        </xdr:cNvPr>
        <xdr:cNvSpPr txBox="1"/>
      </xdr:nvSpPr>
      <xdr:spPr>
        <a:xfrm>
          <a:off x="3152775" y="561975"/>
          <a:ext cx="355282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EC4A28A-65BD-41E8-93D8-110D791D3215}" type="TxLink">
            <a:rPr lang="en-US" sz="2400" b="1" i="0" u="none" strike="noStrike">
              <a:solidFill>
                <a:srgbClr val="000000"/>
              </a:solidFill>
              <a:latin typeface="Aptos Narrow"/>
            </a:rPr>
            <a:pPr/>
            <a:t>₹ 28,19,415.00</a:t>
          </a:fld>
          <a:endParaRPr lang="en-IN" sz="1400" b="1">
            <a:solidFill>
              <a:schemeClr val="bg1"/>
            </a:solidFill>
          </a:endParaRPr>
        </a:p>
      </xdr:txBody>
    </xdr:sp>
    <xdr:clientData/>
  </xdr:oneCellAnchor>
  <xdr:oneCellAnchor>
    <xdr:from>
      <xdr:col>1</xdr:col>
      <xdr:colOff>1524000</xdr:colOff>
      <xdr:row>5</xdr:row>
      <xdr:rowOff>0</xdr:rowOff>
    </xdr:from>
    <xdr:ext cx="1876425" cy="468013"/>
    <xdr:sp macro="" textlink="#REF!">
      <xdr:nvSpPr>
        <xdr:cNvPr id="25" name="TextBox 24">
          <a:extLst>
            <a:ext uri="{FF2B5EF4-FFF2-40B4-BE49-F238E27FC236}">
              <a16:creationId xmlns:a16="http://schemas.microsoft.com/office/drawing/2014/main" id="{9598FD92-791A-CE6B-554B-F4591942C2BC}"/>
            </a:ext>
          </a:extLst>
        </xdr:cNvPr>
        <xdr:cNvSpPr txBox="1"/>
      </xdr:nvSpPr>
      <xdr:spPr>
        <a:xfrm>
          <a:off x="3152775" y="952500"/>
          <a:ext cx="187642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66A8DCE-C16C-4339-A60D-F1A4180F480A}" type="TxLink">
            <a:rPr lang="en-US" sz="2400" b="1" i="0" u="none" strike="noStrike">
              <a:solidFill>
                <a:srgbClr val="000000"/>
              </a:solidFill>
              <a:latin typeface="Aptos Narrow"/>
              <a:ea typeface="+mn-ea"/>
              <a:cs typeface="+mn-cs"/>
            </a:rPr>
            <a:pPr marL="0" indent="0"/>
            <a:t>₹ 8,49,445.85</a:t>
          </a:fld>
          <a:endParaRPr lang="en-IN" sz="2400" b="1" i="0" u="none" strike="noStrike">
            <a:solidFill>
              <a:srgbClr val="000000"/>
            </a:solidFill>
            <a:latin typeface="Aptos Narrow"/>
            <a:ea typeface="+mn-ea"/>
            <a:cs typeface="+mn-cs"/>
          </a:endParaRPr>
        </a:p>
      </xdr:txBody>
    </xdr:sp>
    <xdr:clientData/>
  </xdr:oneCellAnchor>
  <xdr:oneCellAnchor>
    <xdr:from>
      <xdr:col>1</xdr:col>
      <xdr:colOff>1524000</xdr:colOff>
      <xdr:row>7</xdr:row>
      <xdr:rowOff>0</xdr:rowOff>
    </xdr:from>
    <xdr:ext cx="1600200" cy="468013"/>
    <xdr:sp macro="" textlink="#REF!">
      <xdr:nvSpPr>
        <xdr:cNvPr id="26" name="TextBox 25">
          <a:extLst>
            <a:ext uri="{FF2B5EF4-FFF2-40B4-BE49-F238E27FC236}">
              <a16:creationId xmlns:a16="http://schemas.microsoft.com/office/drawing/2014/main" id="{914E7444-B029-C503-6EE8-A1EFA0E35E06}"/>
            </a:ext>
          </a:extLst>
        </xdr:cNvPr>
        <xdr:cNvSpPr txBox="1"/>
      </xdr:nvSpPr>
      <xdr:spPr>
        <a:xfrm>
          <a:off x="3152775" y="1333500"/>
          <a:ext cx="16002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7FF2E364-D1DA-44C5-ACE9-10B8CECB84EB}" type="TxLink">
            <a:rPr lang="en-US" sz="2400" b="1" i="0" u="none" strike="noStrike">
              <a:solidFill>
                <a:srgbClr val="000000"/>
              </a:solidFill>
              <a:latin typeface="Aptos Narrow"/>
              <a:ea typeface="+mn-ea"/>
              <a:cs typeface="+mn-cs"/>
            </a:rPr>
            <a:pPr marL="0" indent="0"/>
            <a:t>30.13%</a:t>
          </a:fld>
          <a:endParaRPr lang="en-IN" sz="2400" b="1" i="0" u="none" strike="noStrike">
            <a:solidFill>
              <a:srgbClr val="000000"/>
            </a:solidFill>
            <a:latin typeface="Aptos Narrow"/>
            <a:ea typeface="+mn-ea"/>
            <a:cs typeface="+mn-cs"/>
          </a:endParaRPr>
        </a:p>
      </xdr:txBody>
    </xdr:sp>
    <xdr:clientData/>
  </xdr:oneCellAnchor>
  <xdr:oneCellAnchor>
    <xdr:from>
      <xdr:col>1</xdr:col>
      <xdr:colOff>1524000</xdr:colOff>
      <xdr:row>9</xdr:row>
      <xdr:rowOff>47625</xdr:rowOff>
    </xdr:from>
    <xdr:ext cx="1600200" cy="468013"/>
    <xdr:sp macro="" textlink="">
      <xdr:nvSpPr>
        <xdr:cNvPr id="27" name="TextBox 26">
          <a:extLst>
            <a:ext uri="{FF2B5EF4-FFF2-40B4-BE49-F238E27FC236}">
              <a16:creationId xmlns:a16="http://schemas.microsoft.com/office/drawing/2014/main" id="{C465A1F9-3B94-9E12-04E1-49C2BD81C1EE}"/>
            </a:ext>
          </a:extLst>
        </xdr:cNvPr>
        <xdr:cNvSpPr txBox="1"/>
      </xdr:nvSpPr>
      <xdr:spPr>
        <a:xfrm>
          <a:off x="3152775" y="1762125"/>
          <a:ext cx="16002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2400" b="1" i="0" u="none" strike="noStrike">
              <a:solidFill>
                <a:srgbClr val="C00000"/>
              </a:solidFill>
              <a:latin typeface="Aptos Narrow"/>
              <a:ea typeface="+mn-ea"/>
              <a:cs typeface="+mn-cs"/>
            </a:rPr>
            <a:t> -11%</a:t>
          </a:r>
        </a:p>
      </xdr:txBody>
    </xdr:sp>
    <xdr:clientData/>
  </xdr:oneCellAnchor>
  <xdr:oneCellAnchor>
    <xdr:from>
      <xdr:col>1</xdr:col>
      <xdr:colOff>295275</xdr:colOff>
      <xdr:row>5</xdr:row>
      <xdr:rowOff>66675</xdr:rowOff>
    </xdr:from>
    <xdr:ext cx="1628775" cy="311496"/>
    <xdr:sp macro="" textlink="">
      <xdr:nvSpPr>
        <xdr:cNvPr id="29" name="TextBox 28">
          <a:extLst>
            <a:ext uri="{FF2B5EF4-FFF2-40B4-BE49-F238E27FC236}">
              <a16:creationId xmlns:a16="http://schemas.microsoft.com/office/drawing/2014/main" id="{AF506D94-CC70-E6DA-86FB-7E5EA9180FDE}"/>
            </a:ext>
          </a:extLst>
        </xdr:cNvPr>
        <xdr:cNvSpPr txBox="1"/>
      </xdr:nvSpPr>
      <xdr:spPr>
        <a:xfrm>
          <a:off x="1924050" y="1019175"/>
          <a:ext cx="16287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Total</a:t>
          </a:r>
          <a:r>
            <a:rPr lang="en-IN" sz="1400" b="1" baseline="0">
              <a:solidFill>
                <a:schemeClr val="bg1"/>
              </a:solidFill>
            </a:rPr>
            <a:t> Profit</a:t>
          </a:r>
          <a:endParaRPr lang="en-IN" sz="1400" b="1">
            <a:solidFill>
              <a:schemeClr val="bg1"/>
            </a:solidFill>
          </a:endParaRPr>
        </a:p>
      </xdr:txBody>
    </xdr:sp>
    <xdr:clientData/>
  </xdr:oneCellAnchor>
  <xdr:oneCellAnchor>
    <xdr:from>
      <xdr:col>1</xdr:col>
      <xdr:colOff>295275</xdr:colOff>
      <xdr:row>7</xdr:row>
      <xdr:rowOff>76200</xdr:rowOff>
    </xdr:from>
    <xdr:ext cx="1628775" cy="311496"/>
    <xdr:sp macro="" textlink="">
      <xdr:nvSpPr>
        <xdr:cNvPr id="30" name="TextBox 29">
          <a:extLst>
            <a:ext uri="{FF2B5EF4-FFF2-40B4-BE49-F238E27FC236}">
              <a16:creationId xmlns:a16="http://schemas.microsoft.com/office/drawing/2014/main" id="{24E5D146-ABEE-34FF-69CB-7937C43759CD}"/>
            </a:ext>
          </a:extLst>
        </xdr:cNvPr>
        <xdr:cNvSpPr txBox="1"/>
      </xdr:nvSpPr>
      <xdr:spPr>
        <a:xfrm>
          <a:off x="1924050" y="1409700"/>
          <a:ext cx="16287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Profit</a:t>
          </a:r>
          <a:r>
            <a:rPr lang="en-IN" sz="1400" b="1" baseline="0">
              <a:solidFill>
                <a:schemeClr val="bg1"/>
              </a:solidFill>
            </a:rPr>
            <a:t> Margin</a:t>
          </a:r>
          <a:endParaRPr lang="en-IN" sz="1400" b="1">
            <a:solidFill>
              <a:schemeClr val="bg1"/>
            </a:solidFill>
          </a:endParaRPr>
        </a:p>
      </xdr:txBody>
    </xdr:sp>
    <xdr:clientData/>
  </xdr:oneCellAnchor>
  <xdr:oneCellAnchor>
    <xdr:from>
      <xdr:col>1</xdr:col>
      <xdr:colOff>304800</xdr:colOff>
      <xdr:row>9</xdr:row>
      <xdr:rowOff>123825</xdr:rowOff>
    </xdr:from>
    <xdr:ext cx="1628775" cy="311496"/>
    <xdr:sp macro="" textlink="">
      <xdr:nvSpPr>
        <xdr:cNvPr id="31" name="TextBox 30">
          <a:extLst>
            <a:ext uri="{FF2B5EF4-FFF2-40B4-BE49-F238E27FC236}">
              <a16:creationId xmlns:a16="http://schemas.microsoft.com/office/drawing/2014/main" id="{B1117A03-A7BF-917C-7D10-8CBD4660D965}"/>
            </a:ext>
          </a:extLst>
        </xdr:cNvPr>
        <xdr:cNvSpPr txBox="1"/>
      </xdr:nvSpPr>
      <xdr:spPr>
        <a:xfrm>
          <a:off x="1933575" y="1838325"/>
          <a:ext cx="16287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YOY Growth</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 refreshedDate="46075.634427662037" createdVersion="8" refreshedVersion="8" minRefreshableVersion="3" recordCount="250" xr:uid="{35A73976-7208-467E-BE6E-5B0C64DC90A0}">
  <cacheSource type="worksheet">
    <worksheetSource name="Sales_Data"/>
  </cacheSource>
  <cacheFields count="11">
    <cacheField name="Order Date" numFmtId="14">
      <sharedItems containsSemiMixedTypes="0" containsNonDate="0" containsDate="1" containsString="0" minDate="2022-01-02T00:00:00" maxDate="2023-03-29T00:00:00"/>
    </cacheField>
    <cacheField name="Year " numFmtId="0">
      <sharedItems containsSemiMixedTypes="0" containsString="0" containsNumber="1" containsInteger="1" minValue="2022" maxValue="2023" count="2">
        <n v="2022"/>
        <n v="2023"/>
      </sharedItems>
    </cacheField>
    <cacheField name="Month " numFmtId="0">
      <sharedItems containsSemiMixedTypes="0" containsString="0" containsNumber="1" containsInteger="1" minValue="1" maxValue="3" count="3">
        <n v="3"/>
        <n v="1"/>
        <n v="2"/>
      </sharedItems>
    </cacheField>
    <cacheField name="Region" numFmtId="0">
      <sharedItems count="4">
        <s v="North"/>
        <s v="East "/>
        <s v="West"/>
        <s v="South"/>
      </sharedItems>
    </cacheField>
    <cacheField name="Product Category" numFmtId="0">
      <sharedItems count="3">
        <s v="Road Bikes"/>
        <s v="Accessories"/>
        <s v="Mountain Bikes"/>
      </sharedItems>
    </cacheField>
    <cacheField name="Product Name" numFmtId="0">
      <sharedItems/>
    </cacheField>
    <cacheField name="Quantity" numFmtId="0">
      <sharedItems containsSemiMixedTypes="0" containsString="0" containsNumber="1" containsInteger="1" minValue="1" maxValue="20"/>
    </cacheField>
    <cacheField name="Retail Price" numFmtId="0">
      <sharedItems containsSemiMixedTypes="0" containsString="0" containsNumber="1" containsInteger="1" minValue="103" maxValue="1997"/>
    </cacheField>
    <cacheField name="Cost Price" numFmtId="0">
      <sharedItems containsSemiMixedTypes="0" containsString="0" containsNumber="1" minValue="64.66" maxValue="1553.6"/>
    </cacheField>
    <cacheField name="Revenue" numFmtId="0">
      <sharedItems containsSemiMixedTypes="0" containsString="0" containsNumber="1" containsInteger="1" minValue="104" maxValue="39940"/>
    </cacheField>
    <cacheField name="Profit" numFmtId="0">
      <sharedItems containsSemiMixedTypes="0" containsString="0" containsNumber="1" minValue="27.040000000000006" maxValue="13979"/>
    </cacheField>
  </cacheFields>
  <extLst>
    <ext xmlns:x14="http://schemas.microsoft.com/office/spreadsheetml/2009/9/main" uri="{725AE2AE-9491-48be-B2B4-4EB974FC3084}">
      <x14:pivotCacheDefinition pivotCacheId="900771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d v="2022-03-28T00:00:00"/>
    <x v="0"/>
    <x v="0"/>
    <x v="0"/>
    <x v="0"/>
    <s v="Carbon Frame Pro"/>
    <n v="10"/>
    <n v="1640"/>
    <n v="1246.4000000000001"/>
    <n v="16400"/>
    <n v="3935.9999999999991"/>
  </r>
  <r>
    <d v="2023-01-21T00:00:00"/>
    <x v="1"/>
    <x v="1"/>
    <x v="0"/>
    <x v="1"/>
    <s v="Speed Gloves"/>
    <n v="4"/>
    <n v="1330"/>
    <n v="1037.4000000000001"/>
    <n v="5320"/>
    <n v="1170.3999999999996"/>
  </r>
  <r>
    <d v="2022-01-12T00:00:00"/>
    <x v="0"/>
    <x v="1"/>
    <x v="1"/>
    <x v="1"/>
    <s v="Trail Helmet"/>
    <n v="5"/>
    <n v="1402"/>
    <n v="883.26"/>
    <n v="7010"/>
    <n v="2593.6999999999998"/>
  </r>
  <r>
    <d v="2023-02-10T00:00:00"/>
    <x v="1"/>
    <x v="2"/>
    <x v="0"/>
    <x v="1"/>
    <s v="X1 Road Bike"/>
    <n v="20"/>
    <n v="1866"/>
    <n v="1418.16"/>
    <n v="37320"/>
    <n v="8956.7999999999993"/>
  </r>
  <r>
    <d v="2022-01-12T00:00:00"/>
    <x v="0"/>
    <x v="1"/>
    <x v="2"/>
    <x v="0"/>
    <s v="X1 Road Bike"/>
    <n v="3"/>
    <n v="929"/>
    <n v="650.29999999999995"/>
    <n v="2787"/>
    <n v="836.10000000000014"/>
  </r>
  <r>
    <d v="2022-03-09T00:00:00"/>
    <x v="0"/>
    <x v="0"/>
    <x v="0"/>
    <x v="0"/>
    <s v="X1 Road Bike"/>
    <n v="15"/>
    <n v="915"/>
    <n v="732"/>
    <n v="13725"/>
    <n v="2745"/>
  </r>
  <r>
    <d v="2022-03-03T00:00:00"/>
    <x v="0"/>
    <x v="0"/>
    <x v="3"/>
    <x v="2"/>
    <s v="Speed Gloves"/>
    <n v="10"/>
    <n v="1297"/>
    <n v="946.81"/>
    <n v="12970"/>
    <n v="3501.9000000000005"/>
  </r>
  <r>
    <d v="2023-03-08T00:00:00"/>
    <x v="1"/>
    <x v="0"/>
    <x v="1"/>
    <x v="2"/>
    <s v="Trail Helmet"/>
    <n v="14"/>
    <n v="1264"/>
    <n v="771.04"/>
    <n v="17696"/>
    <n v="6901.4400000000005"/>
  </r>
  <r>
    <d v="2022-03-23T00:00:00"/>
    <x v="0"/>
    <x v="0"/>
    <x v="1"/>
    <x v="2"/>
    <s v="Speed Gloves"/>
    <n v="7"/>
    <n v="570"/>
    <n v="393.3"/>
    <n v="3990"/>
    <n v="1236.8999999999999"/>
  </r>
  <r>
    <d v="2022-03-23T00:00:00"/>
    <x v="0"/>
    <x v="0"/>
    <x v="0"/>
    <x v="0"/>
    <s v="Speed Gloves"/>
    <n v="9"/>
    <n v="1957"/>
    <n v="1252.48"/>
    <n v="17613"/>
    <n v="6340.68"/>
  </r>
  <r>
    <d v="2022-03-11T00:00:00"/>
    <x v="0"/>
    <x v="0"/>
    <x v="0"/>
    <x v="1"/>
    <s v="A2 Mountain Frame"/>
    <n v="11"/>
    <n v="1145"/>
    <n v="858.75"/>
    <n v="12595"/>
    <n v="3148.75"/>
  </r>
  <r>
    <d v="2022-02-26T00:00:00"/>
    <x v="0"/>
    <x v="2"/>
    <x v="3"/>
    <x v="1"/>
    <s v="Carbon Frame Pro"/>
    <n v="5"/>
    <n v="213"/>
    <n v="149.1"/>
    <n v="1065"/>
    <n v="319.5"/>
  </r>
  <r>
    <d v="2022-02-21T00:00:00"/>
    <x v="0"/>
    <x v="2"/>
    <x v="0"/>
    <x v="1"/>
    <s v="Carbon Frame Pro"/>
    <n v="4"/>
    <n v="899"/>
    <n v="674.25"/>
    <n v="3596"/>
    <n v="899"/>
  </r>
  <r>
    <d v="2022-01-19T00:00:00"/>
    <x v="0"/>
    <x v="1"/>
    <x v="1"/>
    <x v="0"/>
    <s v="A2 Mountain Frame"/>
    <n v="3"/>
    <n v="1762"/>
    <n v="1180.54"/>
    <n v="5286"/>
    <n v="1744.38"/>
  </r>
  <r>
    <d v="2023-02-24T00:00:00"/>
    <x v="1"/>
    <x v="2"/>
    <x v="1"/>
    <x v="0"/>
    <s v="X1 Road Bike"/>
    <n v="13"/>
    <n v="1835"/>
    <n v="1302.8499999999999"/>
    <n v="23855"/>
    <n v="6917.9500000000007"/>
  </r>
  <r>
    <d v="2022-02-04T00:00:00"/>
    <x v="0"/>
    <x v="2"/>
    <x v="1"/>
    <x v="0"/>
    <s v="X1 Road Bike"/>
    <n v="1"/>
    <n v="1652"/>
    <n v="1123.3599999999999"/>
    <n v="1652"/>
    <n v="528.6400000000001"/>
  </r>
  <r>
    <d v="2023-03-14T00:00:00"/>
    <x v="1"/>
    <x v="0"/>
    <x v="2"/>
    <x v="0"/>
    <s v="Carbon Frame Pro"/>
    <n v="16"/>
    <n v="159"/>
    <n v="98.58"/>
    <n v="2544"/>
    <n v="966.72"/>
  </r>
  <r>
    <d v="2022-02-26T00:00:00"/>
    <x v="0"/>
    <x v="2"/>
    <x v="3"/>
    <x v="2"/>
    <s v="A2 Mountain Frame"/>
    <n v="10"/>
    <n v="1760"/>
    <n v="1196.8"/>
    <n v="17600"/>
    <n v="5632"/>
  </r>
  <r>
    <d v="2022-01-26T00:00:00"/>
    <x v="0"/>
    <x v="1"/>
    <x v="3"/>
    <x v="1"/>
    <s v="Trail Helmet"/>
    <n v="3"/>
    <n v="285"/>
    <n v="188.1"/>
    <n v="855"/>
    <n v="290.70000000000005"/>
  </r>
  <r>
    <d v="2023-03-05T00:00:00"/>
    <x v="1"/>
    <x v="0"/>
    <x v="2"/>
    <x v="0"/>
    <s v="Speed Gloves"/>
    <n v="1"/>
    <n v="504"/>
    <n v="342.72"/>
    <n v="504"/>
    <n v="161.27999999999997"/>
  </r>
  <r>
    <d v="2022-01-27T00:00:00"/>
    <x v="0"/>
    <x v="1"/>
    <x v="2"/>
    <x v="1"/>
    <s v="X1 Road Bike"/>
    <n v="16"/>
    <n v="729"/>
    <n v="459.27"/>
    <n v="11664"/>
    <n v="4315.68"/>
  </r>
  <r>
    <d v="2023-01-09T00:00:00"/>
    <x v="1"/>
    <x v="1"/>
    <x v="0"/>
    <x v="0"/>
    <s v="Carbon Frame Pro"/>
    <n v="19"/>
    <n v="634"/>
    <n v="481.84"/>
    <n v="12046"/>
    <n v="2891.0400000000004"/>
  </r>
  <r>
    <d v="2023-03-12T00:00:00"/>
    <x v="1"/>
    <x v="0"/>
    <x v="2"/>
    <x v="0"/>
    <s v="Speed Gloves"/>
    <n v="16"/>
    <n v="374"/>
    <n v="231.88"/>
    <n v="5984"/>
    <n v="2273.92"/>
  </r>
  <r>
    <d v="2022-01-06T00:00:00"/>
    <x v="0"/>
    <x v="1"/>
    <x v="2"/>
    <x v="1"/>
    <s v="Carbon Frame Pro"/>
    <n v="7"/>
    <n v="173"/>
    <n v="122.83"/>
    <n v="1211"/>
    <n v="351.19"/>
  </r>
  <r>
    <d v="2023-03-09T00:00:00"/>
    <x v="1"/>
    <x v="0"/>
    <x v="1"/>
    <x v="1"/>
    <s v="X1 Road Bike"/>
    <n v="5"/>
    <n v="1637"/>
    <n v="1227.75"/>
    <n v="8185"/>
    <n v="2046.25"/>
  </r>
  <r>
    <d v="2022-01-03T00:00:00"/>
    <x v="0"/>
    <x v="1"/>
    <x v="2"/>
    <x v="2"/>
    <s v="Trail Helmet"/>
    <n v="20"/>
    <n v="1997"/>
    <n v="1298.05"/>
    <n v="39940"/>
    <n v="13979"/>
  </r>
  <r>
    <d v="2022-02-07T00:00:00"/>
    <x v="0"/>
    <x v="2"/>
    <x v="0"/>
    <x v="2"/>
    <s v="Speed Gloves"/>
    <n v="16"/>
    <n v="326"/>
    <n v="221.68"/>
    <n v="5216"/>
    <n v="1669.12"/>
  </r>
  <r>
    <d v="2022-03-02T00:00:00"/>
    <x v="0"/>
    <x v="0"/>
    <x v="3"/>
    <x v="2"/>
    <s v="X1 Road Bike"/>
    <n v="3"/>
    <n v="559"/>
    <n v="368.94"/>
    <n v="1677"/>
    <n v="570.18000000000006"/>
  </r>
  <r>
    <d v="2022-03-13T00:00:00"/>
    <x v="0"/>
    <x v="0"/>
    <x v="1"/>
    <x v="1"/>
    <s v="Speed Gloves"/>
    <n v="14"/>
    <n v="1246"/>
    <n v="760.06"/>
    <n v="17444"/>
    <n v="6803.1600000000008"/>
  </r>
  <r>
    <d v="2023-02-01T00:00:00"/>
    <x v="1"/>
    <x v="2"/>
    <x v="1"/>
    <x v="1"/>
    <s v="Trail Helmet"/>
    <n v="15"/>
    <n v="1456"/>
    <n v="917.28"/>
    <n v="21840"/>
    <n v="8080.8"/>
  </r>
  <r>
    <d v="2023-01-16T00:00:00"/>
    <x v="1"/>
    <x v="1"/>
    <x v="2"/>
    <x v="1"/>
    <s v="A2 Mountain Frame"/>
    <n v="4"/>
    <n v="1355"/>
    <n v="962.05"/>
    <n v="5420"/>
    <n v="1571.8000000000002"/>
  </r>
  <r>
    <d v="2022-01-21T00:00:00"/>
    <x v="0"/>
    <x v="1"/>
    <x v="2"/>
    <x v="1"/>
    <s v="X1 Road Bike"/>
    <n v="2"/>
    <n v="1910"/>
    <n v="1394.3"/>
    <n v="3820"/>
    <n v="1031.4000000000001"/>
  </r>
  <r>
    <d v="2023-03-02T00:00:00"/>
    <x v="1"/>
    <x v="0"/>
    <x v="2"/>
    <x v="1"/>
    <s v="Trail Helmet"/>
    <n v="3"/>
    <n v="581"/>
    <n v="371.84"/>
    <n v="1743"/>
    <n v="627.48"/>
  </r>
  <r>
    <d v="2022-01-24T00:00:00"/>
    <x v="0"/>
    <x v="1"/>
    <x v="2"/>
    <x v="1"/>
    <s v="Trail Helmet"/>
    <n v="17"/>
    <n v="1264"/>
    <n v="783.68"/>
    <n v="21488"/>
    <n v="8165.4400000000005"/>
  </r>
  <r>
    <d v="2022-02-17T00:00:00"/>
    <x v="0"/>
    <x v="2"/>
    <x v="0"/>
    <x v="1"/>
    <s v="Carbon Frame Pro"/>
    <n v="13"/>
    <n v="305"/>
    <n v="213.5"/>
    <n v="3965"/>
    <n v="1189.5"/>
  </r>
  <r>
    <d v="2022-01-09T00:00:00"/>
    <x v="0"/>
    <x v="1"/>
    <x v="3"/>
    <x v="2"/>
    <s v="Speed Gloves"/>
    <n v="9"/>
    <n v="692"/>
    <n v="456.72"/>
    <n v="6228"/>
    <n v="2117.5199999999995"/>
  </r>
  <r>
    <d v="2023-02-19T00:00:00"/>
    <x v="1"/>
    <x v="2"/>
    <x v="3"/>
    <x v="1"/>
    <s v="X1 Road Bike"/>
    <n v="9"/>
    <n v="1535"/>
    <n v="1151.25"/>
    <n v="13815"/>
    <n v="3453.75"/>
  </r>
  <r>
    <d v="2023-02-21T00:00:00"/>
    <x v="1"/>
    <x v="2"/>
    <x v="0"/>
    <x v="2"/>
    <s v="Trail Helmet"/>
    <n v="18"/>
    <n v="1131"/>
    <n v="769.08"/>
    <n v="20358"/>
    <n v="6514.5599999999995"/>
  </r>
  <r>
    <d v="2022-03-10T00:00:00"/>
    <x v="0"/>
    <x v="0"/>
    <x v="1"/>
    <x v="1"/>
    <s v="A2 Mountain Frame"/>
    <n v="14"/>
    <n v="1246"/>
    <n v="959.42"/>
    <n v="17444"/>
    <n v="4012.1200000000008"/>
  </r>
  <r>
    <d v="2023-03-14T00:00:00"/>
    <x v="1"/>
    <x v="0"/>
    <x v="3"/>
    <x v="2"/>
    <s v="Speed Gloves"/>
    <n v="14"/>
    <n v="1593"/>
    <n v="1083.24"/>
    <n v="22302"/>
    <n v="7136.6399999999994"/>
  </r>
  <r>
    <d v="2022-03-13T00:00:00"/>
    <x v="0"/>
    <x v="0"/>
    <x v="2"/>
    <x v="1"/>
    <s v="Speed Gloves"/>
    <n v="6"/>
    <n v="968"/>
    <n v="755.04"/>
    <n v="5808"/>
    <n v="1277.7600000000002"/>
  </r>
  <r>
    <d v="2023-02-28T00:00:00"/>
    <x v="1"/>
    <x v="2"/>
    <x v="0"/>
    <x v="1"/>
    <s v="Carbon Frame Pro"/>
    <n v="8"/>
    <n v="642"/>
    <n v="449.4"/>
    <n v="5136"/>
    <n v="1540.8000000000002"/>
  </r>
  <r>
    <d v="2022-02-05T00:00:00"/>
    <x v="0"/>
    <x v="2"/>
    <x v="0"/>
    <x v="2"/>
    <s v="Carbon Frame Pro"/>
    <n v="1"/>
    <n v="1487"/>
    <n v="1115.25"/>
    <n v="1487"/>
    <n v="371.75"/>
  </r>
  <r>
    <d v="2022-01-12T00:00:00"/>
    <x v="0"/>
    <x v="1"/>
    <x v="0"/>
    <x v="0"/>
    <s v="A2 Mountain Frame"/>
    <n v="6"/>
    <n v="855"/>
    <n v="607.04999999999995"/>
    <n v="5130"/>
    <n v="1487.7000000000003"/>
  </r>
  <r>
    <d v="2023-02-24T00:00:00"/>
    <x v="1"/>
    <x v="2"/>
    <x v="3"/>
    <x v="0"/>
    <s v="Speed Gloves"/>
    <n v="2"/>
    <n v="437"/>
    <n v="305.89999999999998"/>
    <n v="874"/>
    <n v="262.20000000000005"/>
  </r>
  <r>
    <d v="2022-03-03T00:00:00"/>
    <x v="0"/>
    <x v="0"/>
    <x v="1"/>
    <x v="2"/>
    <s v="Carbon Frame Pro"/>
    <n v="9"/>
    <n v="1248"/>
    <n v="873.6"/>
    <n v="11232"/>
    <n v="3369.6"/>
  </r>
  <r>
    <d v="2023-02-11T00:00:00"/>
    <x v="1"/>
    <x v="2"/>
    <x v="3"/>
    <x v="2"/>
    <s v="A2 Mountain Frame"/>
    <n v="2"/>
    <n v="1025"/>
    <n v="645.75"/>
    <n v="2050"/>
    <n v="758.5"/>
  </r>
  <r>
    <d v="2022-01-24T00:00:00"/>
    <x v="0"/>
    <x v="1"/>
    <x v="3"/>
    <x v="2"/>
    <s v="A2 Mountain Frame"/>
    <n v="11"/>
    <n v="270"/>
    <n v="202.5"/>
    <n v="2970"/>
    <n v="742.5"/>
  </r>
  <r>
    <d v="2022-03-03T00:00:00"/>
    <x v="0"/>
    <x v="0"/>
    <x v="0"/>
    <x v="0"/>
    <s v="Carbon Frame Pro"/>
    <n v="6"/>
    <n v="582"/>
    <n v="401.58"/>
    <n v="3492"/>
    <n v="1082.52"/>
  </r>
  <r>
    <d v="2023-02-09T00:00:00"/>
    <x v="1"/>
    <x v="2"/>
    <x v="1"/>
    <x v="1"/>
    <s v="Carbon Frame Pro"/>
    <n v="18"/>
    <n v="1704"/>
    <n v="1158.72"/>
    <n v="30672"/>
    <n v="9815.0399999999991"/>
  </r>
  <r>
    <d v="2023-02-26T00:00:00"/>
    <x v="1"/>
    <x v="2"/>
    <x v="0"/>
    <x v="0"/>
    <s v="Carbon Frame Pro"/>
    <n v="15"/>
    <n v="1825"/>
    <n v="1423.5"/>
    <n v="27375"/>
    <n v="6022.5"/>
  </r>
  <r>
    <d v="2022-01-19T00:00:00"/>
    <x v="0"/>
    <x v="1"/>
    <x v="3"/>
    <x v="0"/>
    <s v="X1 Road Bike"/>
    <n v="8"/>
    <n v="1932"/>
    <n v="1410.36"/>
    <n v="15456"/>
    <n v="4173.1200000000008"/>
  </r>
  <r>
    <d v="2023-01-04T00:00:00"/>
    <x v="1"/>
    <x v="1"/>
    <x v="1"/>
    <x v="0"/>
    <s v="Trail Helmet"/>
    <n v="8"/>
    <n v="821"/>
    <n v="492.6"/>
    <n v="6568"/>
    <n v="2627.2"/>
  </r>
  <r>
    <d v="2022-01-13T00:00:00"/>
    <x v="0"/>
    <x v="1"/>
    <x v="1"/>
    <x v="2"/>
    <s v="Trail Helmet"/>
    <n v="8"/>
    <n v="1792"/>
    <n v="1433.6"/>
    <n v="14336"/>
    <n v="2867.2000000000007"/>
  </r>
  <r>
    <d v="2022-02-06T00:00:00"/>
    <x v="0"/>
    <x v="2"/>
    <x v="3"/>
    <x v="2"/>
    <s v="Carbon Frame Pro"/>
    <n v="1"/>
    <n v="375"/>
    <n v="228.75"/>
    <n v="375"/>
    <n v="146.25"/>
  </r>
  <r>
    <d v="2023-01-26T00:00:00"/>
    <x v="1"/>
    <x v="1"/>
    <x v="1"/>
    <x v="2"/>
    <s v="Carbon Frame Pro"/>
    <n v="1"/>
    <n v="1198"/>
    <n v="958.4"/>
    <n v="1198"/>
    <n v="239.60000000000002"/>
  </r>
  <r>
    <d v="2022-03-05T00:00:00"/>
    <x v="0"/>
    <x v="0"/>
    <x v="3"/>
    <x v="0"/>
    <s v="X1 Road Bike"/>
    <n v="3"/>
    <n v="206"/>
    <n v="129.78"/>
    <n v="618"/>
    <n v="228.66"/>
  </r>
  <r>
    <d v="2022-02-19T00:00:00"/>
    <x v="0"/>
    <x v="2"/>
    <x v="3"/>
    <x v="0"/>
    <s v="Speed Gloves"/>
    <n v="5"/>
    <n v="1444"/>
    <n v="1126.32"/>
    <n v="7220"/>
    <n v="1588.4000000000003"/>
  </r>
  <r>
    <d v="2023-02-27T00:00:00"/>
    <x v="1"/>
    <x v="2"/>
    <x v="3"/>
    <x v="2"/>
    <s v="X1 Road Bike"/>
    <n v="8"/>
    <n v="706"/>
    <n v="543.62"/>
    <n v="5648"/>
    <n v="1299.04"/>
  </r>
  <r>
    <d v="2023-01-13T00:00:00"/>
    <x v="1"/>
    <x v="1"/>
    <x v="1"/>
    <x v="2"/>
    <s v="Trail Helmet"/>
    <n v="5"/>
    <n v="1907"/>
    <n v="1525.6"/>
    <n v="9535"/>
    <n v="1907.0000000000005"/>
  </r>
  <r>
    <d v="2023-02-02T00:00:00"/>
    <x v="1"/>
    <x v="2"/>
    <x v="1"/>
    <x v="2"/>
    <s v="A2 Mountain Frame"/>
    <n v="19"/>
    <n v="1406"/>
    <n v="843.6"/>
    <n v="26714"/>
    <n v="10685.6"/>
  </r>
  <r>
    <d v="2023-03-17T00:00:00"/>
    <x v="1"/>
    <x v="0"/>
    <x v="2"/>
    <x v="2"/>
    <s v="Trail Helmet"/>
    <n v="4"/>
    <n v="608"/>
    <n v="437.76"/>
    <n v="2432"/>
    <n v="680.96"/>
  </r>
  <r>
    <d v="2022-02-27T00:00:00"/>
    <x v="0"/>
    <x v="2"/>
    <x v="0"/>
    <x v="1"/>
    <s v="Trail Helmet"/>
    <n v="3"/>
    <n v="211"/>
    <n v="139.26"/>
    <n v="633"/>
    <n v="215.22000000000003"/>
  </r>
  <r>
    <d v="2023-03-28T00:00:00"/>
    <x v="1"/>
    <x v="0"/>
    <x v="0"/>
    <x v="0"/>
    <s v="A2 Mountain Frame"/>
    <n v="14"/>
    <n v="1994"/>
    <n v="1415.74"/>
    <n v="27916"/>
    <n v="8095.6399999999994"/>
  </r>
  <r>
    <d v="2022-01-11T00:00:00"/>
    <x v="0"/>
    <x v="1"/>
    <x v="2"/>
    <x v="1"/>
    <s v="Speed Gloves"/>
    <n v="17"/>
    <n v="787"/>
    <n v="582.38"/>
    <n v="13379"/>
    <n v="3478.54"/>
  </r>
  <r>
    <d v="2023-02-14T00:00:00"/>
    <x v="1"/>
    <x v="2"/>
    <x v="3"/>
    <x v="1"/>
    <s v="Trail Helmet"/>
    <n v="6"/>
    <n v="1823"/>
    <n v="1257.8699999999999"/>
    <n v="10938"/>
    <n v="3390.7800000000007"/>
  </r>
  <r>
    <d v="2023-03-01T00:00:00"/>
    <x v="1"/>
    <x v="0"/>
    <x v="3"/>
    <x v="0"/>
    <s v="Carbon Frame Pro"/>
    <n v="3"/>
    <n v="1751"/>
    <n v="1225.7"/>
    <n v="5253"/>
    <n v="1575.8999999999999"/>
  </r>
  <r>
    <d v="2023-03-05T00:00:00"/>
    <x v="1"/>
    <x v="0"/>
    <x v="2"/>
    <x v="2"/>
    <s v="X1 Road Bike"/>
    <n v="19"/>
    <n v="1605"/>
    <n v="1123.5"/>
    <n v="30495"/>
    <n v="9148.5"/>
  </r>
  <r>
    <d v="2023-02-26T00:00:00"/>
    <x v="1"/>
    <x v="2"/>
    <x v="1"/>
    <x v="0"/>
    <s v="X1 Road Bike"/>
    <n v="20"/>
    <n v="750"/>
    <n v="480"/>
    <n v="15000"/>
    <n v="5400"/>
  </r>
  <r>
    <d v="2022-01-03T00:00:00"/>
    <x v="0"/>
    <x v="1"/>
    <x v="0"/>
    <x v="0"/>
    <s v="X1 Road Bike"/>
    <n v="13"/>
    <n v="545"/>
    <n v="414.2"/>
    <n v="7085"/>
    <n v="1700.4"/>
  </r>
  <r>
    <d v="2022-02-07T00:00:00"/>
    <x v="0"/>
    <x v="2"/>
    <x v="2"/>
    <x v="0"/>
    <s v="A2 Mountain Frame"/>
    <n v="19"/>
    <n v="715"/>
    <n v="529.1"/>
    <n v="13585"/>
    <n v="3532.0999999999995"/>
  </r>
  <r>
    <d v="2023-03-18T00:00:00"/>
    <x v="1"/>
    <x v="0"/>
    <x v="3"/>
    <x v="1"/>
    <s v="Trail Helmet"/>
    <n v="5"/>
    <n v="1247"/>
    <n v="897.84"/>
    <n v="6235"/>
    <n v="1745.7999999999997"/>
  </r>
  <r>
    <d v="2022-02-16T00:00:00"/>
    <x v="0"/>
    <x v="2"/>
    <x v="0"/>
    <x v="0"/>
    <s v="X1 Road Bike"/>
    <n v="19"/>
    <n v="606"/>
    <n v="448.44"/>
    <n v="11514"/>
    <n v="2993.64"/>
  </r>
  <r>
    <d v="2023-01-10T00:00:00"/>
    <x v="1"/>
    <x v="1"/>
    <x v="2"/>
    <x v="1"/>
    <s v="Carbon Frame Pro"/>
    <n v="14"/>
    <n v="794"/>
    <n v="500.22"/>
    <n v="11116"/>
    <n v="4112.92"/>
  </r>
  <r>
    <d v="2023-01-03T00:00:00"/>
    <x v="1"/>
    <x v="1"/>
    <x v="0"/>
    <x v="2"/>
    <s v="Trail Helmet"/>
    <n v="3"/>
    <n v="388"/>
    <n v="283.24"/>
    <n v="1164"/>
    <n v="314.27999999999997"/>
  </r>
  <r>
    <d v="2023-03-22T00:00:00"/>
    <x v="1"/>
    <x v="0"/>
    <x v="3"/>
    <x v="1"/>
    <s v="Speed Gloves"/>
    <n v="7"/>
    <n v="516"/>
    <n v="325.08"/>
    <n v="3612"/>
    <n v="1336.44"/>
  </r>
  <r>
    <d v="2022-03-19T00:00:00"/>
    <x v="0"/>
    <x v="0"/>
    <x v="1"/>
    <x v="1"/>
    <s v="Speed Gloves"/>
    <n v="17"/>
    <n v="176"/>
    <n v="123.2"/>
    <n v="2992"/>
    <n v="897.59999999999991"/>
  </r>
  <r>
    <d v="2022-02-19T00:00:00"/>
    <x v="0"/>
    <x v="2"/>
    <x v="3"/>
    <x v="0"/>
    <s v="A2 Mountain Frame"/>
    <n v="14"/>
    <n v="1886"/>
    <n v="1131.5999999999999"/>
    <n v="26404"/>
    <n v="10561.600000000002"/>
  </r>
  <r>
    <d v="2022-02-22T00:00:00"/>
    <x v="0"/>
    <x v="2"/>
    <x v="1"/>
    <x v="0"/>
    <s v="Trail Helmet"/>
    <n v="20"/>
    <n v="1858"/>
    <n v="1356.34"/>
    <n v="37160"/>
    <n v="10033.200000000001"/>
  </r>
  <r>
    <d v="2022-01-08T00:00:00"/>
    <x v="0"/>
    <x v="1"/>
    <x v="3"/>
    <x v="0"/>
    <s v="X1 Road Bike"/>
    <n v="19"/>
    <n v="802"/>
    <n v="617.54"/>
    <n v="15238"/>
    <n v="3504.7400000000007"/>
  </r>
  <r>
    <d v="2023-01-12T00:00:00"/>
    <x v="1"/>
    <x v="1"/>
    <x v="3"/>
    <x v="1"/>
    <s v="X1 Road Bike"/>
    <n v="11"/>
    <n v="1030"/>
    <n v="690.1"/>
    <n v="11330"/>
    <n v="3738.8999999999996"/>
  </r>
  <r>
    <d v="2022-03-21T00:00:00"/>
    <x v="0"/>
    <x v="0"/>
    <x v="1"/>
    <x v="1"/>
    <s v="Speed Gloves"/>
    <n v="13"/>
    <n v="1088"/>
    <n v="674.56"/>
    <n v="14144"/>
    <n v="5374.7200000000012"/>
  </r>
  <r>
    <d v="2022-01-28T00:00:00"/>
    <x v="0"/>
    <x v="1"/>
    <x v="1"/>
    <x v="0"/>
    <s v="Carbon Frame Pro"/>
    <n v="3"/>
    <n v="1614"/>
    <n v="1162.08"/>
    <n v="4842"/>
    <n v="1355.7600000000002"/>
  </r>
  <r>
    <d v="2022-02-16T00:00:00"/>
    <x v="0"/>
    <x v="2"/>
    <x v="2"/>
    <x v="1"/>
    <s v="Carbon Frame Pro"/>
    <n v="9"/>
    <n v="1725"/>
    <n v="1173"/>
    <n v="15525"/>
    <n v="4968"/>
  </r>
  <r>
    <d v="2023-01-13T00:00:00"/>
    <x v="1"/>
    <x v="1"/>
    <x v="3"/>
    <x v="1"/>
    <s v="X1 Road Bike"/>
    <n v="11"/>
    <n v="669"/>
    <n v="468.3"/>
    <n v="7359"/>
    <n v="2207.6999999999998"/>
  </r>
  <r>
    <d v="2022-01-19T00:00:00"/>
    <x v="0"/>
    <x v="1"/>
    <x v="1"/>
    <x v="1"/>
    <s v="A2 Mountain Frame"/>
    <n v="15"/>
    <n v="373"/>
    <n v="242.45"/>
    <n v="5595"/>
    <n v="1958.2500000000002"/>
  </r>
  <r>
    <d v="2023-02-24T00:00:00"/>
    <x v="1"/>
    <x v="2"/>
    <x v="1"/>
    <x v="1"/>
    <s v="X1 Road Bike"/>
    <n v="5"/>
    <n v="1453"/>
    <n v="1017.1"/>
    <n v="7265"/>
    <n v="2179.5"/>
  </r>
  <r>
    <d v="2023-03-05T00:00:00"/>
    <x v="1"/>
    <x v="0"/>
    <x v="3"/>
    <x v="2"/>
    <s v="Speed Gloves"/>
    <n v="15"/>
    <n v="1795"/>
    <n v="1292.4000000000001"/>
    <n v="26925"/>
    <n v="7538.9999999999982"/>
  </r>
  <r>
    <d v="2022-03-09T00:00:00"/>
    <x v="0"/>
    <x v="0"/>
    <x v="1"/>
    <x v="2"/>
    <s v="Trail Helmet"/>
    <n v="13"/>
    <n v="222"/>
    <n v="166.5"/>
    <n v="2886"/>
    <n v="721.5"/>
  </r>
  <r>
    <d v="2022-01-07T00:00:00"/>
    <x v="0"/>
    <x v="1"/>
    <x v="2"/>
    <x v="2"/>
    <s v="Trail Helmet"/>
    <n v="15"/>
    <n v="1148"/>
    <n v="803.6"/>
    <n v="17220"/>
    <n v="5166"/>
  </r>
  <r>
    <d v="2023-01-22T00:00:00"/>
    <x v="1"/>
    <x v="1"/>
    <x v="0"/>
    <x v="2"/>
    <s v="A2 Mountain Frame"/>
    <n v="6"/>
    <n v="1547"/>
    <n v="1129.31"/>
    <n v="9282"/>
    <n v="2506.1400000000003"/>
  </r>
  <r>
    <d v="2023-02-08T00:00:00"/>
    <x v="1"/>
    <x v="2"/>
    <x v="3"/>
    <x v="1"/>
    <s v="A2 Mountain Frame"/>
    <n v="1"/>
    <n v="860"/>
    <n v="541.79999999999995"/>
    <n v="860"/>
    <n v="318.20000000000005"/>
  </r>
  <r>
    <d v="2023-02-08T00:00:00"/>
    <x v="1"/>
    <x v="2"/>
    <x v="2"/>
    <x v="1"/>
    <s v="Carbon Frame Pro"/>
    <n v="20"/>
    <n v="395"/>
    <n v="304.14999999999998"/>
    <n v="7900"/>
    <n v="1817.0000000000005"/>
  </r>
  <r>
    <d v="2022-01-18T00:00:00"/>
    <x v="0"/>
    <x v="1"/>
    <x v="3"/>
    <x v="2"/>
    <s v="Speed Gloves"/>
    <n v="19"/>
    <n v="1747"/>
    <n v="1240.3699999999999"/>
    <n v="33193"/>
    <n v="9625.9700000000012"/>
  </r>
  <r>
    <d v="2022-01-28T00:00:00"/>
    <x v="0"/>
    <x v="1"/>
    <x v="3"/>
    <x v="1"/>
    <s v="Carbon Frame Pro"/>
    <n v="13"/>
    <n v="749"/>
    <n v="576.73"/>
    <n v="9737"/>
    <n v="2239.5099999999998"/>
  </r>
  <r>
    <d v="2023-01-21T00:00:00"/>
    <x v="1"/>
    <x v="1"/>
    <x v="1"/>
    <x v="0"/>
    <s v="A2 Mountain Frame"/>
    <n v="6"/>
    <n v="1948"/>
    <n v="1324.64"/>
    <n v="11688"/>
    <n v="3740.1599999999994"/>
  </r>
  <r>
    <d v="2022-03-13T00:00:00"/>
    <x v="0"/>
    <x v="0"/>
    <x v="2"/>
    <x v="0"/>
    <s v="Speed Gloves"/>
    <n v="18"/>
    <n v="1579"/>
    <n v="1247.4100000000001"/>
    <n v="28422"/>
    <n v="5968.619999999999"/>
  </r>
  <r>
    <d v="2022-03-18T00:00:00"/>
    <x v="0"/>
    <x v="0"/>
    <x v="2"/>
    <x v="0"/>
    <s v="Trail Helmet"/>
    <n v="2"/>
    <n v="1970"/>
    <n v="1221.4000000000001"/>
    <n v="3940"/>
    <n v="1497.1999999999998"/>
  </r>
  <r>
    <d v="2023-03-01T00:00:00"/>
    <x v="1"/>
    <x v="0"/>
    <x v="0"/>
    <x v="0"/>
    <s v="Speed Gloves"/>
    <n v="3"/>
    <n v="868"/>
    <n v="624.96"/>
    <n v="2604"/>
    <n v="729.11999999999989"/>
  </r>
  <r>
    <d v="2022-01-28T00:00:00"/>
    <x v="0"/>
    <x v="1"/>
    <x v="0"/>
    <x v="2"/>
    <s v="Trail Helmet"/>
    <n v="16"/>
    <n v="828"/>
    <n v="554.76"/>
    <n v="13248"/>
    <n v="4371.84"/>
  </r>
  <r>
    <d v="2023-01-17T00:00:00"/>
    <x v="1"/>
    <x v="1"/>
    <x v="1"/>
    <x v="0"/>
    <s v="Carbon Frame Pro"/>
    <n v="17"/>
    <n v="1588"/>
    <n v="1206.8800000000001"/>
    <n v="26996"/>
    <n v="6479.0399999999981"/>
  </r>
  <r>
    <d v="2023-02-06T00:00:00"/>
    <x v="1"/>
    <x v="2"/>
    <x v="3"/>
    <x v="2"/>
    <s v="A2 Mountain Frame"/>
    <n v="20"/>
    <n v="1957"/>
    <n v="1311.19"/>
    <n v="39140"/>
    <n v="12916.199999999999"/>
  </r>
  <r>
    <d v="2022-03-23T00:00:00"/>
    <x v="0"/>
    <x v="0"/>
    <x v="0"/>
    <x v="1"/>
    <s v="X1 Road Bike"/>
    <n v="16"/>
    <n v="1552"/>
    <n v="1055.3599999999999"/>
    <n v="24832"/>
    <n v="7946.2400000000016"/>
  </r>
  <r>
    <d v="2022-02-21T00:00:00"/>
    <x v="0"/>
    <x v="2"/>
    <x v="1"/>
    <x v="0"/>
    <s v="Trail Helmet"/>
    <n v="3"/>
    <n v="1967"/>
    <n v="1278.55"/>
    <n v="5901"/>
    <n v="2065.3500000000004"/>
  </r>
  <r>
    <d v="2022-03-05T00:00:00"/>
    <x v="0"/>
    <x v="0"/>
    <x v="2"/>
    <x v="1"/>
    <s v="Carbon Frame Pro"/>
    <n v="13"/>
    <n v="1048"/>
    <n v="681.2"/>
    <n v="13624"/>
    <n v="4768.3999999999996"/>
  </r>
  <r>
    <d v="2022-01-03T00:00:00"/>
    <x v="0"/>
    <x v="1"/>
    <x v="3"/>
    <x v="0"/>
    <s v="X1 Road Bike"/>
    <n v="2"/>
    <n v="1494"/>
    <n v="956.16"/>
    <n v="2988"/>
    <n v="1075.68"/>
  </r>
  <r>
    <d v="2022-02-16T00:00:00"/>
    <x v="0"/>
    <x v="2"/>
    <x v="1"/>
    <x v="0"/>
    <s v="Speed Gloves"/>
    <n v="13"/>
    <n v="1952"/>
    <n v="1385.92"/>
    <n v="25376"/>
    <n v="7359.0399999999991"/>
  </r>
  <r>
    <d v="2022-02-28T00:00:00"/>
    <x v="0"/>
    <x v="2"/>
    <x v="2"/>
    <x v="0"/>
    <s v="A2 Mountain Frame"/>
    <n v="20"/>
    <n v="819"/>
    <n v="507.78"/>
    <n v="16380"/>
    <n v="6224.4000000000005"/>
  </r>
  <r>
    <d v="2022-03-07T00:00:00"/>
    <x v="0"/>
    <x v="0"/>
    <x v="3"/>
    <x v="2"/>
    <s v="Speed Gloves"/>
    <n v="20"/>
    <n v="1795"/>
    <n v="1346.25"/>
    <n v="35900"/>
    <n v="8975"/>
  </r>
  <r>
    <d v="2022-01-24T00:00:00"/>
    <x v="0"/>
    <x v="1"/>
    <x v="3"/>
    <x v="2"/>
    <s v="Speed Gloves"/>
    <n v="2"/>
    <n v="1168"/>
    <n v="817.6"/>
    <n v="2336"/>
    <n v="700.8"/>
  </r>
  <r>
    <d v="2022-01-24T00:00:00"/>
    <x v="0"/>
    <x v="1"/>
    <x v="0"/>
    <x v="1"/>
    <s v="A2 Mountain Frame"/>
    <n v="12"/>
    <n v="835"/>
    <n v="634.6"/>
    <n v="10020"/>
    <n v="2404.7999999999997"/>
  </r>
  <r>
    <d v="2023-03-21T00:00:00"/>
    <x v="1"/>
    <x v="0"/>
    <x v="1"/>
    <x v="0"/>
    <s v="X1 Road Bike"/>
    <n v="6"/>
    <n v="1609"/>
    <n v="1238.93"/>
    <n v="9654"/>
    <n v="2220.4199999999996"/>
  </r>
  <r>
    <d v="2023-02-23T00:00:00"/>
    <x v="1"/>
    <x v="2"/>
    <x v="1"/>
    <x v="2"/>
    <s v="A2 Mountain Frame"/>
    <n v="19"/>
    <n v="839"/>
    <n v="620.86"/>
    <n v="15941"/>
    <n v="4144.66"/>
  </r>
  <r>
    <d v="2023-03-08T00:00:00"/>
    <x v="1"/>
    <x v="0"/>
    <x v="0"/>
    <x v="2"/>
    <s v="X1 Road Bike"/>
    <n v="1"/>
    <n v="1871"/>
    <n v="1234.8599999999999"/>
    <n v="1871"/>
    <n v="636.1400000000001"/>
  </r>
  <r>
    <d v="2022-01-04T00:00:00"/>
    <x v="0"/>
    <x v="1"/>
    <x v="0"/>
    <x v="1"/>
    <s v="X1 Road Bike"/>
    <n v="15"/>
    <n v="527"/>
    <n v="337.28"/>
    <n v="7905"/>
    <n v="2845.8"/>
  </r>
  <r>
    <d v="2023-02-11T00:00:00"/>
    <x v="1"/>
    <x v="2"/>
    <x v="1"/>
    <x v="1"/>
    <s v="X1 Road Bike"/>
    <n v="9"/>
    <n v="1735"/>
    <n v="1283.9000000000001"/>
    <n v="15615"/>
    <n v="4059.8999999999992"/>
  </r>
  <r>
    <d v="2022-03-23T00:00:00"/>
    <x v="0"/>
    <x v="0"/>
    <x v="3"/>
    <x v="1"/>
    <s v="Trail Helmet"/>
    <n v="13"/>
    <n v="1125"/>
    <n v="765"/>
    <n v="14625"/>
    <n v="4680"/>
  </r>
  <r>
    <d v="2022-03-19T00:00:00"/>
    <x v="0"/>
    <x v="0"/>
    <x v="2"/>
    <x v="0"/>
    <s v="A2 Mountain Frame"/>
    <n v="4"/>
    <n v="1098"/>
    <n v="834.48"/>
    <n v="4392"/>
    <n v="1054.08"/>
  </r>
  <r>
    <d v="2022-02-20T00:00:00"/>
    <x v="0"/>
    <x v="2"/>
    <x v="3"/>
    <x v="2"/>
    <s v="X1 Road Bike"/>
    <n v="5"/>
    <n v="103"/>
    <n v="70.040000000000006"/>
    <n v="515"/>
    <n v="164.79999999999995"/>
  </r>
  <r>
    <d v="2022-02-17T00:00:00"/>
    <x v="0"/>
    <x v="2"/>
    <x v="2"/>
    <x v="2"/>
    <s v="Speed Gloves"/>
    <n v="16"/>
    <n v="1788"/>
    <n v="1287.3599999999999"/>
    <n v="28608"/>
    <n v="8010.2400000000016"/>
  </r>
  <r>
    <d v="2022-02-26T00:00:00"/>
    <x v="0"/>
    <x v="2"/>
    <x v="2"/>
    <x v="1"/>
    <s v="X1 Road Bike"/>
    <n v="15"/>
    <n v="939"/>
    <n v="741.81"/>
    <n v="14085"/>
    <n v="2957.8500000000008"/>
  </r>
  <r>
    <d v="2022-01-20T00:00:00"/>
    <x v="0"/>
    <x v="1"/>
    <x v="1"/>
    <x v="2"/>
    <s v="Speed Gloves"/>
    <n v="3"/>
    <n v="338"/>
    <n v="226.46"/>
    <n v="1014"/>
    <n v="334.62"/>
  </r>
  <r>
    <d v="2022-01-26T00:00:00"/>
    <x v="0"/>
    <x v="1"/>
    <x v="0"/>
    <x v="0"/>
    <s v="Speed Gloves"/>
    <n v="1"/>
    <n v="1849"/>
    <n v="1109.4000000000001"/>
    <n v="1849"/>
    <n v="739.59999999999991"/>
  </r>
  <r>
    <d v="2023-02-08T00:00:00"/>
    <x v="1"/>
    <x v="2"/>
    <x v="3"/>
    <x v="1"/>
    <s v="X1 Road Bike"/>
    <n v="15"/>
    <n v="1188"/>
    <n v="819.72"/>
    <n v="17820"/>
    <n v="5524.2"/>
  </r>
  <r>
    <d v="2023-02-20T00:00:00"/>
    <x v="1"/>
    <x v="2"/>
    <x v="0"/>
    <x v="1"/>
    <s v="Carbon Frame Pro"/>
    <n v="8"/>
    <n v="1813"/>
    <n v="1359.75"/>
    <n v="14504"/>
    <n v="3626"/>
  </r>
  <r>
    <d v="2022-03-11T00:00:00"/>
    <x v="0"/>
    <x v="0"/>
    <x v="3"/>
    <x v="0"/>
    <s v="Carbon Frame Pro"/>
    <n v="9"/>
    <n v="598"/>
    <n v="394.68"/>
    <n v="5382"/>
    <n v="1829.8799999999999"/>
  </r>
  <r>
    <d v="2023-02-27T00:00:00"/>
    <x v="1"/>
    <x v="2"/>
    <x v="2"/>
    <x v="2"/>
    <s v="Speed Gloves"/>
    <n v="8"/>
    <n v="269"/>
    <n v="207.13"/>
    <n v="2152"/>
    <n v="494.96000000000004"/>
  </r>
  <r>
    <d v="2022-03-19T00:00:00"/>
    <x v="0"/>
    <x v="0"/>
    <x v="2"/>
    <x v="0"/>
    <s v="Carbon Frame Pro"/>
    <n v="5"/>
    <n v="362"/>
    <n v="271.5"/>
    <n v="1810"/>
    <n v="452.5"/>
  </r>
  <r>
    <d v="2022-02-12T00:00:00"/>
    <x v="0"/>
    <x v="2"/>
    <x v="0"/>
    <x v="0"/>
    <s v="X1 Road Bike"/>
    <n v="14"/>
    <n v="1019"/>
    <n v="733.68"/>
    <n v="14266"/>
    <n v="3994.4800000000005"/>
  </r>
  <r>
    <d v="2023-03-03T00:00:00"/>
    <x v="1"/>
    <x v="0"/>
    <x v="2"/>
    <x v="1"/>
    <s v="A2 Mountain Frame"/>
    <n v="8"/>
    <n v="1519"/>
    <n v="1215.2"/>
    <n v="12152"/>
    <n v="2430.3999999999996"/>
  </r>
  <r>
    <d v="2023-02-16T00:00:00"/>
    <x v="1"/>
    <x v="2"/>
    <x v="1"/>
    <x v="1"/>
    <s v="Carbon Frame Pro"/>
    <n v="2"/>
    <n v="333"/>
    <n v="236.43"/>
    <n v="666"/>
    <n v="193.14"/>
  </r>
  <r>
    <d v="2023-01-20T00:00:00"/>
    <x v="1"/>
    <x v="1"/>
    <x v="3"/>
    <x v="0"/>
    <s v="Speed Gloves"/>
    <n v="1"/>
    <n v="1795"/>
    <n v="1202.6500000000001"/>
    <n v="1795"/>
    <n v="592.34999999999991"/>
  </r>
  <r>
    <d v="2022-01-10T00:00:00"/>
    <x v="0"/>
    <x v="1"/>
    <x v="2"/>
    <x v="1"/>
    <s v="Speed Gloves"/>
    <n v="5"/>
    <n v="202"/>
    <n v="143.41999999999999"/>
    <n v="1010"/>
    <n v="292.90000000000009"/>
  </r>
  <r>
    <d v="2022-03-09T00:00:00"/>
    <x v="0"/>
    <x v="0"/>
    <x v="0"/>
    <x v="2"/>
    <s v="X1 Road Bike"/>
    <n v="18"/>
    <n v="916"/>
    <n v="650.36"/>
    <n v="16488"/>
    <n v="4781.5199999999995"/>
  </r>
  <r>
    <d v="2023-01-22T00:00:00"/>
    <x v="1"/>
    <x v="1"/>
    <x v="1"/>
    <x v="0"/>
    <s v="A2 Mountain Frame"/>
    <n v="15"/>
    <n v="583"/>
    <n v="361.46"/>
    <n v="8745"/>
    <n v="3323.1000000000004"/>
  </r>
  <r>
    <d v="2022-03-11T00:00:00"/>
    <x v="0"/>
    <x v="0"/>
    <x v="1"/>
    <x v="2"/>
    <s v="Carbon Frame Pro"/>
    <n v="11"/>
    <n v="1072"/>
    <n v="643.20000000000005"/>
    <n v="11792"/>
    <n v="4716.7999999999993"/>
  </r>
  <r>
    <d v="2023-03-12T00:00:00"/>
    <x v="1"/>
    <x v="0"/>
    <x v="2"/>
    <x v="0"/>
    <s v="X1 Road Bike"/>
    <n v="7"/>
    <n v="1025"/>
    <n v="768.75"/>
    <n v="7175"/>
    <n v="1793.75"/>
  </r>
  <r>
    <d v="2023-01-25T00:00:00"/>
    <x v="1"/>
    <x v="1"/>
    <x v="3"/>
    <x v="2"/>
    <s v="X1 Road Bike"/>
    <n v="6"/>
    <n v="1286"/>
    <n v="887.34"/>
    <n v="7716"/>
    <n v="2391.96"/>
  </r>
  <r>
    <d v="2022-02-04T00:00:00"/>
    <x v="0"/>
    <x v="2"/>
    <x v="2"/>
    <x v="2"/>
    <s v="X1 Road Bike"/>
    <n v="11"/>
    <n v="473"/>
    <n v="368.94"/>
    <n v="5203"/>
    <n v="1144.6600000000001"/>
  </r>
  <r>
    <d v="2022-02-26T00:00:00"/>
    <x v="0"/>
    <x v="2"/>
    <x v="2"/>
    <x v="1"/>
    <s v="A2 Mountain Frame"/>
    <n v="6"/>
    <n v="1071"/>
    <n v="749.7"/>
    <n v="6426"/>
    <n v="1927.7999999999997"/>
  </r>
  <r>
    <d v="2022-01-27T00:00:00"/>
    <x v="0"/>
    <x v="1"/>
    <x v="1"/>
    <x v="1"/>
    <s v="A2 Mountain Frame"/>
    <n v="8"/>
    <n v="186"/>
    <n v="128.34"/>
    <n v="1488"/>
    <n v="461.28"/>
  </r>
  <r>
    <d v="2023-03-13T00:00:00"/>
    <x v="1"/>
    <x v="0"/>
    <x v="1"/>
    <x v="0"/>
    <s v="Trail Helmet"/>
    <n v="10"/>
    <n v="1114"/>
    <n v="690.68"/>
    <n v="11140"/>
    <n v="4233.2000000000007"/>
  </r>
  <r>
    <d v="2022-02-18T00:00:00"/>
    <x v="0"/>
    <x v="2"/>
    <x v="2"/>
    <x v="1"/>
    <s v="Speed Gloves"/>
    <n v="19"/>
    <n v="1962"/>
    <n v="1334.16"/>
    <n v="37278"/>
    <n v="11928.96"/>
  </r>
  <r>
    <d v="2023-01-10T00:00:00"/>
    <x v="1"/>
    <x v="1"/>
    <x v="1"/>
    <x v="2"/>
    <s v="X1 Road Bike"/>
    <n v="15"/>
    <n v="797"/>
    <n v="541.96"/>
    <n v="11955"/>
    <n v="3825.5999999999995"/>
  </r>
  <r>
    <d v="2022-03-05T00:00:00"/>
    <x v="0"/>
    <x v="0"/>
    <x v="3"/>
    <x v="2"/>
    <s v="Carbon Frame Pro"/>
    <n v="20"/>
    <n v="938"/>
    <n v="656.6"/>
    <n v="18760"/>
    <n v="5628"/>
  </r>
  <r>
    <d v="2022-02-25T00:00:00"/>
    <x v="0"/>
    <x v="2"/>
    <x v="3"/>
    <x v="2"/>
    <s v="A2 Mountain Frame"/>
    <n v="10"/>
    <n v="1489"/>
    <n v="1101.8599999999999"/>
    <n v="14890"/>
    <n v="3871.400000000001"/>
  </r>
  <r>
    <d v="2022-01-03T00:00:00"/>
    <x v="0"/>
    <x v="1"/>
    <x v="3"/>
    <x v="0"/>
    <s v="Speed Gloves"/>
    <n v="14"/>
    <n v="1730"/>
    <n v="1176.4000000000001"/>
    <n v="24220"/>
    <n v="7750.3999999999987"/>
  </r>
  <r>
    <d v="2022-03-23T00:00:00"/>
    <x v="0"/>
    <x v="0"/>
    <x v="0"/>
    <x v="2"/>
    <s v="A2 Mountain Frame"/>
    <n v="1"/>
    <n v="1861"/>
    <n v="1209.6500000000001"/>
    <n v="1861"/>
    <n v="651.34999999999991"/>
  </r>
  <r>
    <d v="2022-01-18T00:00:00"/>
    <x v="0"/>
    <x v="1"/>
    <x v="0"/>
    <x v="0"/>
    <s v="Carbon Frame Pro"/>
    <n v="9"/>
    <n v="567"/>
    <n v="408.24"/>
    <n v="5103"/>
    <n v="1428.84"/>
  </r>
  <r>
    <d v="2022-03-02T00:00:00"/>
    <x v="0"/>
    <x v="0"/>
    <x v="3"/>
    <x v="0"/>
    <s v="X1 Road Bike"/>
    <n v="17"/>
    <n v="1695"/>
    <n v="1186.5"/>
    <n v="28815"/>
    <n v="8644.5"/>
  </r>
  <r>
    <d v="2023-03-10T00:00:00"/>
    <x v="1"/>
    <x v="0"/>
    <x v="2"/>
    <x v="0"/>
    <s v="Speed Gloves"/>
    <n v="9"/>
    <n v="1952"/>
    <n v="1385.92"/>
    <n v="17568"/>
    <n v="5094.7199999999993"/>
  </r>
  <r>
    <d v="2022-01-13T00:00:00"/>
    <x v="0"/>
    <x v="1"/>
    <x v="0"/>
    <x v="2"/>
    <s v="Speed Gloves"/>
    <n v="2"/>
    <n v="892"/>
    <n v="597.64"/>
    <n v="1784"/>
    <n v="588.72"/>
  </r>
  <r>
    <d v="2023-01-10T00:00:00"/>
    <x v="1"/>
    <x v="1"/>
    <x v="1"/>
    <x v="0"/>
    <s v="A2 Mountain Frame"/>
    <n v="19"/>
    <n v="1193"/>
    <n v="823.17"/>
    <n v="22667"/>
    <n v="7026.77"/>
  </r>
  <r>
    <d v="2022-01-17T00:00:00"/>
    <x v="0"/>
    <x v="1"/>
    <x v="3"/>
    <x v="2"/>
    <s v="A2 Mountain Frame"/>
    <n v="6"/>
    <n v="1743"/>
    <n v="1359.54"/>
    <n v="10458"/>
    <n v="2300.7600000000002"/>
  </r>
  <r>
    <d v="2022-03-04T00:00:00"/>
    <x v="0"/>
    <x v="0"/>
    <x v="1"/>
    <x v="0"/>
    <s v="Trail Helmet"/>
    <n v="18"/>
    <n v="254"/>
    <n v="162.56"/>
    <n v="4572"/>
    <n v="1645.92"/>
  </r>
  <r>
    <d v="2022-03-11T00:00:00"/>
    <x v="0"/>
    <x v="0"/>
    <x v="0"/>
    <x v="0"/>
    <s v="Carbon Frame Pro"/>
    <n v="8"/>
    <n v="672"/>
    <n v="409.92"/>
    <n v="5376"/>
    <n v="2096.64"/>
  </r>
  <r>
    <d v="2022-03-10T00:00:00"/>
    <x v="0"/>
    <x v="0"/>
    <x v="0"/>
    <x v="0"/>
    <s v="Speed Gloves"/>
    <n v="7"/>
    <n v="1023"/>
    <n v="695.64"/>
    <n v="7161"/>
    <n v="2291.52"/>
  </r>
  <r>
    <d v="2022-01-23T00:00:00"/>
    <x v="0"/>
    <x v="1"/>
    <x v="1"/>
    <x v="1"/>
    <s v="Trail Helmet"/>
    <n v="8"/>
    <n v="1679"/>
    <n v="1141.72"/>
    <n v="13432"/>
    <n v="4298.24"/>
  </r>
  <r>
    <d v="2022-01-19T00:00:00"/>
    <x v="0"/>
    <x v="1"/>
    <x v="3"/>
    <x v="0"/>
    <s v="Trail Helmet"/>
    <n v="19"/>
    <n v="1940"/>
    <n v="1222.2"/>
    <n v="36860"/>
    <n v="13638.199999999999"/>
  </r>
  <r>
    <d v="2022-02-19T00:00:00"/>
    <x v="0"/>
    <x v="2"/>
    <x v="2"/>
    <x v="2"/>
    <s v="X1 Road Bike"/>
    <n v="5"/>
    <n v="108"/>
    <n v="82.08"/>
    <n v="540"/>
    <n v="129.60000000000002"/>
  </r>
  <r>
    <d v="2023-03-11T00:00:00"/>
    <x v="1"/>
    <x v="0"/>
    <x v="2"/>
    <x v="2"/>
    <s v="X1 Road Bike"/>
    <n v="10"/>
    <n v="847"/>
    <n v="601.37"/>
    <n v="8470"/>
    <n v="2456.3000000000002"/>
  </r>
  <r>
    <d v="2023-02-19T00:00:00"/>
    <x v="1"/>
    <x v="2"/>
    <x v="3"/>
    <x v="1"/>
    <s v="Trail Helmet"/>
    <n v="14"/>
    <n v="291"/>
    <n v="212.43"/>
    <n v="4074"/>
    <n v="1099.98"/>
  </r>
  <r>
    <d v="2022-01-09T00:00:00"/>
    <x v="0"/>
    <x v="1"/>
    <x v="3"/>
    <x v="0"/>
    <s v="Speed Gloves"/>
    <n v="19"/>
    <n v="1064"/>
    <n v="702.24"/>
    <n v="20216"/>
    <n v="6873.44"/>
  </r>
  <r>
    <d v="2023-01-10T00:00:00"/>
    <x v="1"/>
    <x v="1"/>
    <x v="3"/>
    <x v="1"/>
    <s v="Speed Gloves"/>
    <n v="4"/>
    <n v="1401"/>
    <n v="966.69"/>
    <n v="5604"/>
    <n v="1737.2399999999998"/>
  </r>
  <r>
    <d v="2022-03-02T00:00:00"/>
    <x v="0"/>
    <x v="0"/>
    <x v="1"/>
    <x v="1"/>
    <s v="Trail Helmet"/>
    <n v="16"/>
    <n v="332"/>
    <n v="215.8"/>
    <n v="5312"/>
    <n v="1859.1999999999998"/>
  </r>
  <r>
    <d v="2023-01-22T00:00:00"/>
    <x v="1"/>
    <x v="1"/>
    <x v="0"/>
    <x v="1"/>
    <s v="Carbon Frame Pro"/>
    <n v="5"/>
    <n v="1486"/>
    <n v="1099.6400000000001"/>
    <n v="7430"/>
    <n v="1931.7999999999995"/>
  </r>
  <r>
    <d v="2023-03-23T00:00:00"/>
    <x v="1"/>
    <x v="0"/>
    <x v="1"/>
    <x v="1"/>
    <s v="Trail Helmet"/>
    <n v="13"/>
    <n v="1450"/>
    <n v="1000.5"/>
    <n v="18850"/>
    <n v="5843.5"/>
  </r>
  <r>
    <d v="2023-02-12T00:00:00"/>
    <x v="1"/>
    <x v="2"/>
    <x v="2"/>
    <x v="2"/>
    <s v="A2 Mountain Frame"/>
    <n v="12"/>
    <n v="826"/>
    <n v="619.5"/>
    <n v="9912"/>
    <n v="2478"/>
  </r>
  <r>
    <d v="2023-01-10T00:00:00"/>
    <x v="1"/>
    <x v="1"/>
    <x v="2"/>
    <x v="0"/>
    <s v="A2 Mountain Frame"/>
    <n v="16"/>
    <n v="1261"/>
    <n v="807.04"/>
    <n v="20176"/>
    <n v="7263.3600000000006"/>
  </r>
  <r>
    <d v="2023-02-20T00:00:00"/>
    <x v="1"/>
    <x v="2"/>
    <x v="0"/>
    <x v="2"/>
    <s v="Trail Helmet"/>
    <n v="7"/>
    <n v="440"/>
    <n v="286"/>
    <n v="3080"/>
    <n v="1078"/>
  </r>
  <r>
    <d v="2023-02-06T00:00:00"/>
    <x v="1"/>
    <x v="2"/>
    <x v="0"/>
    <x v="2"/>
    <s v="Carbon Frame Pro"/>
    <n v="6"/>
    <n v="1216"/>
    <n v="948.48"/>
    <n v="7296"/>
    <n v="1605.12"/>
  </r>
  <r>
    <d v="2023-02-25T00:00:00"/>
    <x v="1"/>
    <x v="2"/>
    <x v="3"/>
    <x v="0"/>
    <s v="Carbon Frame Pro"/>
    <n v="15"/>
    <n v="703"/>
    <n v="527.25"/>
    <n v="10545"/>
    <n v="2636.25"/>
  </r>
  <r>
    <d v="2023-02-26T00:00:00"/>
    <x v="1"/>
    <x v="2"/>
    <x v="3"/>
    <x v="2"/>
    <s v="Speed Gloves"/>
    <n v="14"/>
    <n v="320"/>
    <n v="217.6"/>
    <n v="4480"/>
    <n v="1433.6000000000001"/>
  </r>
  <r>
    <d v="2022-02-06T00:00:00"/>
    <x v="0"/>
    <x v="2"/>
    <x v="3"/>
    <x v="2"/>
    <s v="Trail Helmet"/>
    <n v="3"/>
    <n v="1639"/>
    <n v="1212.8599999999999"/>
    <n v="4917"/>
    <n v="1278.4200000000003"/>
  </r>
  <r>
    <d v="2022-03-05T00:00:00"/>
    <x v="0"/>
    <x v="0"/>
    <x v="3"/>
    <x v="0"/>
    <s v="Carbon Frame Pro"/>
    <n v="5"/>
    <n v="435"/>
    <n v="261"/>
    <n v="2175"/>
    <n v="870"/>
  </r>
  <r>
    <d v="2023-02-22T00:00:00"/>
    <x v="1"/>
    <x v="2"/>
    <x v="2"/>
    <x v="0"/>
    <s v="Speed Gloves"/>
    <n v="8"/>
    <n v="1904"/>
    <n v="1447.04"/>
    <n v="15232"/>
    <n v="3655.6800000000003"/>
  </r>
  <r>
    <d v="2023-01-24T00:00:00"/>
    <x v="1"/>
    <x v="1"/>
    <x v="2"/>
    <x v="0"/>
    <s v="A2 Mountain Frame"/>
    <n v="20"/>
    <n v="1190"/>
    <n v="714"/>
    <n v="23800"/>
    <n v="9520"/>
  </r>
  <r>
    <d v="2023-01-23T00:00:00"/>
    <x v="1"/>
    <x v="1"/>
    <x v="2"/>
    <x v="0"/>
    <s v="Carbon Frame Pro"/>
    <n v="20"/>
    <n v="186"/>
    <n v="122.76"/>
    <n v="3720"/>
    <n v="1264.8"/>
  </r>
  <r>
    <d v="2023-02-06T00:00:00"/>
    <x v="1"/>
    <x v="2"/>
    <x v="0"/>
    <x v="1"/>
    <s v="Speed Gloves"/>
    <n v="3"/>
    <n v="1727"/>
    <n v="1277.98"/>
    <n v="5181"/>
    <n v="1347.06"/>
  </r>
  <r>
    <d v="2022-03-12T00:00:00"/>
    <x v="0"/>
    <x v="0"/>
    <x v="2"/>
    <x v="1"/>
    <s v="X1 Road Bike"/>
    <n v="19"/>
    <n v="1305"/>
    <n v="1030.95"/>
    <n v="24795"/>
    <n v="5206.9499999999989"/>
  </r>
  <r>
    <d v="2022-03-22T00:00:00"/>
    <x v="0"/>
    <x v="0"/>
    <x v="3"/>
    <x v="1"/>
    <s v="A2 Mountain Frame"/>
    <n v="8"/>
    <n v="1972"/>
    <n v="1479"/>
    <n v="15776"/>
    <n v="3944"/>
  </r>
  <r>
    <d v="2022-01-27T00:00:00"/>
    <x v="0"/>
    <x v="1"/>
    <x v="2"/>
    <x v="1"/>
    <s v="Speed Gloves"/>
    <n v="5"/>
    <n v="708"/>
    <n v="566.4"/>
    <n v="3540"/>
    <n v="708.00000000000011"/>
  </r>
  <r>
    <d v="2022-03-19T00:00:00"/>
    <x v="0"/>
    <x v="0"/>
    <x v="0"/>
    <x v="2"/>
    <s v="Speed Gloves"/>
    <n v="1"/>
    <n v="104"/>
    <n v="76.959999999999994"/>
    <n v="104"/>
    <n v="27.040000000000006"/>
  </r>
  <r>
    <d v="2022-03-18T00:00:00"/>
    <x v="0"/>
    <x v="0"/>
    <x v="1"/>
    <x v="0"/>
    <s v="Trail Helmet"/>
    <n v="12"/>
    <n v="1569"/>
    <n v="1176.75"/>
    <n v="18828"/>
    <n v="4707"/>
  </r>
  <r>
    <d v="2023-02-28T00:00:00"/>
    <x v="1"/>
    <x v="2"/>
    <x v="2"/>
    <x v="2"/>
    <s v="X1 Road Bike"/>
    <n v="17"/>
    <n v="740"/>
    <n v="444"/>
    <n v="12580"/>
    <n v="5032"/>
  </r>
  <r>
    <d v="2022-01-18T00:00:00"/>
    <x v="0"/>
    <x v="1"/>
    <x v="2"/>
    <x v="0"/>
    <s v="Carbon Frame Pro"/>
    <n v="7"/>
    <n v="1575"/>
    <n v="1102.5"/>
    <n v="11025"/>
    <n v="3307.5"/>
  </r>
  <r>
    <d v="2022-01-23T00:00:00"/>
    <x v="0"/>
    <x v="1"/>
    <x v="1"/>
    <x v="1"/>
    <s v="X1 Road Bike"/>
    <n v="17"/>
    <n v="864"/>
    <n v="552.96"/>
    <n v="14688"/>
    <n v="5287.6799999999994"/>
  </r>
  <r>
    <d v="2023-01-01T00:00:00"/>
    <x v="1"/>
    <x v="1"/>
    <x v="0"/>
    <x v="2"/>
    <s v="Speed Gloves"/>
    <n v="16"/>
    <n v="809"/>
    <n v="550.12"/>
    <n v="12944"/>
    <n v="4142.08"/>
  </r>
  <r>
    <d v="2023-01-19T00:00:00"/>
    <x v="1"/>
    <x v="1"/>
    <x v="2"/>
    <x v="2"/>
    <s v="Speed Gloves"/>
    <n v="17"/>
    <n v="822"/>
    <n v="583.62"/>
    <n v="13974"/>
    <n v="4052.46"/>
  </r>
  <r>
    <d v="2022-03-01T00:00:00"/>
    <x v="0"/>
    <x v="0"/>
    <x v="0"/>
    <x v="0"/>
    <s v="X1 Road Bike"/>
    <n v="1"/>
    <n v="598"/>
    <n v="436.54"/>
    <n v="598"/>
    <n v="161.45999999999998"/>
  </r>
  <r>
    <d v="2023-01-18T00:00:00"/>
    <x v="1"/>
    <x v="1"/>
    <x v="2"/>
    <x v="2"/>
    <s v="Speed Gloves"/>
    <n v="1"/>
    <n v="343"/>
    <n v="253.82"/>
    <n v="343"/>
    <n v="89.18"/>
  </r>
  <r>
    <d v="2023-03-04T00:00:00"/>
    <x v="1"/>
    <x v="0"/>
    <x v="3"/>
    <x v="1"/>
    <s v="A2 Mountain Frame"/>
    <n v="1"/>
    <n v="1009"/>
    <n v="645.76"/>
    <n v="1009"/>
    <n v="363.24"/>
  </r>
  <r>
    <d v="2023-02-11T00:00:00"/>
    <x v="1"/>
    <x v="2"/>
    <x v="2"/>
    <x v="2"/>
    <s v="A2 Mountain Frame"/>
    <n v="20"/>
    <n v="1967"/>
    <n v="1435.91"/>
    <n v="39340"/>
    <n v="10621.8"/>
  </r>
  <r>
    <d v="2023-03-16T00:00:00"/>
    <x v="1"/>
    <x v="0"/>
    <x v="2"/>
    <x v="0"/>
    <s v="Trail Helmet"/>
    <n v="15"/>
    <n v="358"/>
    <n v="243.44"/>
    <n v="5370"/>
    <n v="1718.4"/>
  </r>
  <r>
    <d v="2022-03-18T00:00:00"/>
    <x v="0"/>
    <x v="0"/>
    <x v="0"/>
    <x v="0"/>
    <s v="X1 Road Bike"/>
    <n v="14"/>
    <n v="1104"/>
    <n v="872.16"/>
    <n v="15456"/>
    <n v="3245.76"/>
  </r>
  <r>
    <d v="2023-03-22T00:00:00"/>
    <x v="1"/>
    <x v="0"/>
    <x v="2"/>
    <x v="1"/>
    <s v="Speed Gloves"/>
    <n v="20"/>
    <n v="1682"/>
    <n v="1177.4000000000001"/>
    <n v="33640"/>
    <n v="10091.999999999998"/>
  </r>
  <r>
    <d v="2022-02-04T00:00:00"/>
    <x v="0"/>
    <x v="2"/>
    <x v="0"/>
    <x v="1"/>
    <s v="Speed Gloves"/>
    <n v="8"/>
    <n v="314"/>
    <n v="216.66"/>
    <n v="2512"/>
    <n v="778.72"/>
  </r>
  <r>
    <d v="2022-03-28T00:00:00"/>
    <x v="0"/>
    <x v="0"/>
    <x v="2"/>
    <x v="0"/>
    <s v="A2 Mountain Frame"/>
    <n v="10"/>
    <n v="886"/>
    <n v="549.32000000000005"/>
    <n v="8860"/>
    <n v="3366.7999999999993"/>
  </r>
  <r>
    <d v="2022-01-08T00:00:00"/>
    <x v="0"/>
    <x v="1"/>
    <x v="1"/>
    <x v="1"/>
    <s v="Speed Gloves"/>
    <n v="14"/>
    <n v="1025"/>
    <n v="779"/>
    <n v="14350"/>
    <n v="3444"/>
  </r>
  <r>
    <d v="2023-02-23T00:00:00"/>
    <x v="1"/>
    <x v="2"/>
    <x v="2"/>
    <x v="0"/>
    <s v="Carbon Frame Pro"/>
    <n v="2"/>
    <n v="1203"/>
    <n v="962.4"/>
    <n v="2406"/>
    <n v="481.20000000000005"/>
  </r>
  <r>
    <d v="2022-03-23T00:00:00"/>
    <x v="0"/>
    <x v="0"/>
    <x v="2"/>
    <x v="0"/>
    <s v="Trail Helmet"/>
    <n v="7"/>
    <n v="574"/>
    <n v="401.8"/>
    <n v="4018"/>
    <n v="1205.3999999999999"/>
  </r>
  <r>
    <d v="2022-03-17T00:00:00"/>
    <x v="0"/>
    <x v="0"/>
    <x v="3"/>
    <x v="2"/>
    <s v="Speed Gloves"/>
    <n v="18"/>
    <n v="818"/>
    <n v="621.67999999999995"/>
    <n v="14724"/>
    <n v="3533.7600000000011"/>
  </r>
  <r>
    <d v="2023-03-25T00:00:00"/>
    <x v="1"/>
    <x v="0"/>
    <x v="2"/>
    <x v="1"/>
    <s v="Carbon Frame Pro"/>
    <n v="3"/>
    <n v="487"/>
    <n v="345.77"/>
    <n v="1461"/>
    <n v="423.69000000000005"/>
  </r>
  <r>
    <d v="2023-01-28T00:00:00"/>
    <x v="1"/>
    <x v="1"/>
    <x v="2"/>
    <x v="0"/>
    <s v="X1 Road Bike"/>
    <n v="16"/>
    <n v="1718"/>
    <n v="1305.68"/>
    <n v="27488"/>
    <n v="6597.119999999999"/>
  </r>
  <r>
    <d v="2022-02-18T00:00:00"/>
    <x v="0"/>
    <x v="2"/>
    <x v="0"/>
    <x v="0"/>
    <s v="X1 Road Bike"/>
    <n v="2"/>
    <n v="1127"/>
    <n v="867.79"/>
    <n v="2254"/>
    <n v="518.42000000000007"/>
  </r>
  <r>
    <d v="2022-03-24T00:00:00"/>
    <x v="0"/>
    <x v="0"/>
    <x v="2"/>
    <x v="1"/>
    <s v="Speed Gloves"/>
    <n v="4"/>
    <n v="1773"/>
    <n v="1312.02"/>
    <n v="7092"/>
    <n v="1843.92"/>
  </r>
  <r>
    <d v="2023-03-08T00:00:00"/>
    <x v="1"/>
    <x v="0"/>
    <x v="3"/>
    <x v="0"/>
    <s v="X1 Road Bike"/>
    <n v="8"/>
    <n v="1942"/>
    <n v="1553.6"/>
    <n v="15536"/>
    <n v="3107.2000000000007"/>
  </r>
  <r>
    <d v="2022-01-21T00:00:00"/>
    <x v="0"/>
    <x v="1"/>
    <x v="3"/>
    <x v="1"/>
    <s v="X1 Road Bike"/>
    <n v="20"/>
    <n v="106"/>
    <n v="64.66"/>
    <n v="2120"/>
    <n v="826.80000000000007"/>
  </r>
  <r>
    <d v="2023-01-14T00:00:00"/>
    <x v="1"/>
    <x v="1"/>
    <x v="1"/>
    <x v="0"/>
    <s v="Speed Gloves"/>
    <n v="13"/>
    <n v="185"/>
    <n v="120.25"/>
    <n v="2405"/>
    <n v="841.75"/>
  </r>
  <r>
    <d v="2022-01-02T00:00:00"/>
    <x v="0"/>
    <x v="1"/>
    <x v="3"/>
    <x v="1"/>
    <s v="Trail Helmet"/>
    <n v="19"/>
    <n v="1268"/>
    <n v="912.96"/>
    <n v="24092"/>
    <n v="6745.7599999999993"/>
  </r>
  <r>
    <d v="2023-03-25T00:00:00"/>
    <x v="1"/>
    <x v="0"/>
    <x v="3"/>
    <x v="2"/>
    <s v="Speed Gloves"/>
    <n v="15"/>
    <n v="1414"/>
    <n v="862.54"/>
    <n v="21210"/>
    <n v="8271.9000000000015"/>
  </r>
  <r>
    <d v="2023-01-26T00:00:00"/>
    <x v="1"/>
    <x v="1"/>
    <x v="0"/>
    <x v="2"/>
    <s v="Carbon Frame Pro"/>
    <n v="19"/>
    <n v="1763"/>
    <n v="1093.06"/>
    <n v="33497"/>
    <n v="12728.86"/>
  </r>
  <r>
    <d v="2023-01-20T00:00:00"/>
    <x v="1"/>
    <x v="1"/>
    <x v="1"/>
    <x v="2"/>
    <s v="Trail Helmet"/>
    <n v="9"/>
    <n v="1566"/>
    <n v="1158.8399999999999"/>
    <n v="14094"/>
    <n v="3664.4400000000005"/>
  </r>
  <r>
    <d v="2022-03-28T00:00:00"/>
    <x v="0"/>
    <x v="0"/>
    <x v="3"/>
    <x v="1"/>
    <s v="Speed Gloves"/>
    <n v="20"/>
    <n v="638"/>
    <n v="459.36"/>
    <n v="12760"/>
    <n v="3572.7999999999997"/>
  </r>
  <r>
    <d v="2023-01-18T00:00:00"/>
    <x v="1"/>
    <x v="1"/>
    <x v="0"/>
    <x v="1"/>
    <s v="Carbon Frame Pro"/>
    <n v="3"/>
    <n v="1750"/>
    <n v="1260"/>
    <n v="5250"/>
    <n v="1470"/>
  </r>
  <r>
    <d v="2023-02-02T00:00:00"/>
    <x v="1"/>
    <x v="2"/>
    <x v="0"/>
    <x v="2"/>
    <s v="X1 Road Bike"/>
    <n v="2"/>
    <n v="875"/>
    <n v="630"/>
    <n v="1750"/>
    <n v="490"/>
  </r>
  <r>
    <d v="2023-01-15T00:00:00"/>
    <x v="1"/>
    <x v="1"/>
    <x v="1"/>
    <x v="0"/>
    <s v="A2 Mountain Frame"/>
    <n v="2"/>
    <n v="814"/>
    <n v="634.91999999999996"/>
    <n v="1628"/>
    <n v="358.16000000000008"/>
  </r>
  <r>
    <d v="2022-01-08T00:00:00"/>
    <x v="0"/>
    <x v="1"/>
    <x v="0"/>
    <x v="1"/>
    <s v="X1 Road Bike"/>
    <n v="2"/>
    <n v="1576"/>
    <n v="1118.96"/>
    <n v="3152"/>
    <n v="914.07999999999993"/>
  </r>
  <r>
    <d v="2023-01-10T00:00:00"/>
    <x v="1"/>
    <x v="1"/>
    <x v="3"/>
    <x v="2"/>
    <s v="X1 Road Bike"/>
    <n v="15"/>
    <n v="1694"/>
    <n v="1101.0999999999999"/>
    <n v="25410"/>
    <n v="8893.5000000000018"/>
  </r>
  <r>
    <d v="2022-01-13T00:00:00"/>
    <x v="0"/>
    <x v="1"/>
    <x v="0"/>
    <x v="1"/>
    <s v="A2 Mountain Frame"/>
    <n v="10"/>
    <n v="363"/>
    <n v="257.73"/>
    <n v="3630"/>
    <n v="1052.6999999999998"/>
  </r>
  <r>
    <d v="2022-01-13T00:00:00"/>
    <x v="0"/>
    <x v="1"/>
    <x v="1"/>
    <x v="2"/>
    <s v="Carbon Frame Pro"/>
    <n v="5"/>
    <n v="1395"/>
    <n v="1116"/>
    <n v="6975"/>
    <n v="1395"/>
  </r>
  <r>
    <d v="2022-03-12T00:00:00"/>
    <x v="0"/>
    <x v="0"/>
    <x v="1"/>
    <x v="2"/>
    <s v="Carbon Frame Pro"/>
    <n v="19"/>
    <n v="1339"/>
    <n v="897.13"/>
    <n v="25441"/>
    <n v="8395.5300000000007"/>
  </r>
  <r>
    <d v="2023-02-07T00:00:00"/>
    <x v="1"/>
    <x v="2"/>
    <x v="0"/>
    <x v="1"/>
    <s v="A2 Mountain Frame"/>
    <n v="7"/>
    <n v="214"/>
    <n v="132.68"/>
    <n v="1498"/>
    <n v="569.24"/>
  </r>
  <r>
    <d v="2022-03-21T00:00:00"/>
    <x v="0"/>
    <x v="0"/>
    <x v="0"/>
    <x v="1"/>
    <s v="Trail Helmet"/>
    <n v="12"/>
    <n v="1044"/>
    <n v="793.44"/>
    <n v="12528"/>
    <n v="3006.7199999999993"/>
  </r>
  <r>
    <d v="2023-03-21T00:00:00"/>
    <x v="1"/>
    <x v="0"/>
    <x v="3"/>
    <x v="0"/>
    <s v="A2 Mountain Frame"/>
    <n v="13"/>
    <n v="727"/>
    <n v="516.16999999999996"/>
    <n v="9451"/>
    <n v="2740.7900000000004"/>
  </r>
  <r>
    <d v="2023-03-10T00:00:00"/>
    <x v="1"/>
    <x v="0"/>
    <x v="1"/>
    <x v="0"/>
    <s v="Carbon Frame Pro"/>
    <n v="15"/>
    <n v="1634"/>
    <n v="1258.18"/>
    <n v="24510"/>
    <n v="5637.2999999999993"/>
  </r>
  <r>
    <d v="2022-02-08T00:00:00"/>
    <x v="0"/>
    <x v="2"/>
    <x v="0"/>
    <x v="2"/>
    <s v="A2 Mountain Frame"/>
    <n v="16"/>
    <n v="146"/>
    <n v="115.34"/>
    <n v="2336"/>
    <n v="490.55999999999995"/>
  </r>
  <r>
    <d v="2023-02-09T00:00:00"/>
    <x v="1"/>
    <x v="2"/>
    <x v="3"/>
    <x v="2"/>
    <s v="Carbon Frame Pro"/>
    <n v="16"/>
    <n v="504"/>
    <n v="327.60000000000002"/>
    <n v="8064"/>
    <n v="2822.3999999999996"/>
  </r>
  <r>
    <d v="2022-03-08T00:00:00"/>
    <x v="0"/>
    <x v="0"/>
    <x v="3"/>
    <x v="2"/>
    <s v="Speed Gloves"/>
    <n v="5"/>
    <n v="1491"/>
    <n v="1118.25"/>
    <n v="7455"/>
    <n v="1863.75"/>
  </r>
  <r>
    <d v="2022-03-03T00:00:00"/>
    <x v="0"/>
    <x v="0"/>
    <x v="3"/>
    <x v="0"/>
    <s v="Carbon Frame Pro"/>
    <n v="6"/>
    <n v="1601"/>
    <n v="1024.6400000000001"/>
    <n v="9606"/>
    <n v="3458.1599999999994"/>
  </r>
  <r>
    <d v="2023-01-19T00:00:00"/>
    <x v="1"/>
    <x v="1"/>
    <x v="2"/>
    <x v="2"/>
    <s v="Trail Helmet"/>
    <n v="13"/>
    <n v="1540"/>
    <n v="970.2"/>
    <n v="20020"/>
    <n v="7407.4"/>
  </r>
  <r>
    <d v="2022-02-13T00:00:00"/>
    <x v="0"/>
    <x v="2"/>
    <x v="3"/>
    <x v="1"/>
    <s v="Speed Gloves"/>
    <n v="19"/>
    <n v="1454"/>
    <n v="901.48"/>
    <n v="27626"/>
    <n v="10497.88"/>
  </r>
  <r>
    <d v="2023-03-09T00:00:00"/>
    <x v="1"/>
    <x v="0"/>
    <x v="1"/>
    <x v="2"/>
    <s v="X1 Road Bike"/>
    <n v="9"/>
    <n v="1513"/>
    <n v="1104.49"/>
    <n v="13617"/>
    <n v="3676.59"/>
  </r>
  <r>
    <d v="2022-02-20T00:00:00"/>
    <x v="0"/>
    <x v="2"/>
    <x v="3"/>
    <x v="1"/>
    <s v="Trail Helmet"/>
    <n v="14"/>
    <n v="312"/>
    <n v="199.68"/>
    <n v="4368"/>
    <n v="1572.48"/>
  </r>
  <r>
    <d v="2023-02-09T00:00:00"/>
    <x v="1"/>
    <x v="2"/>
    <x v="0"/>
    <x v="1"/>
    <s v="X1 Road Bike"/>
    <n v="4"/>
    <n v="1861"/>
    <n v="1135.21"/>
    <n v="7444"/>
    <n v="2903.16"/>
  </r>
  <r>
    <d v="2023-01-17T00:00:00"/>
    <x v="1"/>
    <x v="1"/>
    <x v="3"/>
    <x v="0"/>
    <s v="Trail Helmet"/>
    <n v="3"/>
    <n v="557"/>
    <n v="428.89"/>
    <n v="1671"/>
    <n v="384.33000000000004"/>
  </r>
  <r>
    <d v="2022-02-01T00:00:00"/>
    <x v="0"/>
    <x v="2"/>
    <x v="0"/>
    <x v="2"/>
    <s v="X1 Road Bike"/>
    <n v="13"/>
    <n v="1789"/>
    <n v="1144.96"/>
    <n v="23257"/>
    <n v="8372.52"/>
  </r>
  <r>
    <d v="2022-02-21T00:00:00"/>
    <x v="0"/>
    <x v="2"/>
    <x v="3"/>
    <x v="0"/>
    <s v="Carbon Frame Pro"/>
    <n v="15"/>
    <n v="325"/>
    <n v="221"/>
    <n v="4875"/>
    <n v="1560"/>
  </r>
  <r>
    <d v="2022-03-15T00:00:00"/>
    <x v="0"/>
    <x v="0"/>
    <x v="2"/>
    <x v="2"/>
    <s v="X1 Road Bike"/>
    <n v="10"/>
    <n v="836"/>
    <n v="501.6"/>
    <n v="8360"/>
    <n v="3344"/>
  </r>
  <r>
    <d v="2023-03-04T00:00:00"/>
    <x v="1"/>
    <x v="0"/>
    <x v="3"/>
    <x v="1"/>
    <s v="Carbon Frame Pro"/>
    <n v="15"/>
    <n v="444"/>
    <n v="319.68"/>
    <n v="6660"/>
    <n v="1864.8"/>
  </r>
  <r>
    <d v="2023-02-01T00:00:00"/>
    <x v="1"/>
    <x v="2"/>
    <x v="3"/>
    <x v="2"/>
    <s v="X1 Road Bike"/>
    <n v="9"/>
    <n v="981"/>
    <n v="745.56"/>
    <n v="8829"/>
    <n v="2118.9600000000005"/>
  </r>
  <r>
    <d v="2023-01-20T00:00:00"/>
    <x v="1"/>
    <x v="1"/>
    <x v="0"/>
    <x v="1"/>
    <s v="Speed Gloves"/>
    <n v="4"/>
    <n v="1316"/>
    <n v="815.92"/>
    <n v="5264"/>
    <n v="2000.3200000000002"/>
  </r>
  <r>
    <d v="2022-01-15T00:00:00"/>
    <x v="0"/>
    <x v="1"/>
    <x v="3"/>
    <x v="1"/>
    <s v="Speed Gloves"/>
    <n v="5"/>
    <n v="126"/>
    <n v="83.16"/>
    <n v="630"/>
    <n v="214.20000000000002"/>
  </r>
  <r>
    <d v="2023-02-02T00:00:00"/>
    <x v="1"/>
    <x v="2"/>
    <x v="1"/>
    <x v="1"/>
    <s v="A2 Mountain Frame"/>
    <n v="10"/>
    <n v="1666"/>
    <n v="1066.24"/>
    <n v="16660"/>
    <n v="5997.6"/>
  </r>
  <r>
    <d v="2022-01-20T00:00:00"/>
    <x v="0"/>
    <x v="1"/>
    <x v="3"/>
    <x v="1"/>
    <s v="Carbon Frame Pro"/>
    <n v="14"/>
    <n v="1345"/>
    <n v="954.95"/>
    <n v="18830"/>
    <n v="5460.6999999999989"/>
  </r>
  <r>
    <d v="2023-02-19T00:00:00"/>
    <x v="1"/>
    <x v="2"/>
    <x v="2"/>
    <x v="2"/>
    <s v="Carbon Frame Pro"/>
    <n v="16"/>
    <n v="108"/>
    <n v="81"/>
    <n v="1728"/>
    <n v="432"/>
  </r>
  <r>
    <d v="2022-03-23T00:00:00"/>
    <x v="0"/>
    <x v="0"/>
    <x v="2"/>
    <x v="2"/>
    <s v="Carbon Frame Pro"/>
    <n v="9"/>
    <n v="1108"/>
    <n v="886.4"/>
    <n v="9972"/>
    <n v="1994.4"/>
  </r>
  <r>
    <d v="2023-03-23T00:00:00"/>
    <x v="1"/>
    <x v="0"/>
    <x v="1"/>
    <x v="2"/>
    <s v="Speed Gloves"/>
    <n v="7"/>
    <n v="861"/>
    <n v="516.6"/>
    <n v="6027"/>
    <n v="2410.7999999999997"/>
  </r>
  <r>
    <d v="2022-01-06T00:00:00"/>
    <x v="0"/>
    <x v="1"/>
    <x v="2"/>
    <x v="1"/>
    <s v="X1 Road Bike"/>
    <n v="16"/>
    <n v="1031"/>
    <n v="670.15"/>
    <n v="16496"/>
    <n v="5773.6"/>
  </r>
  <r>
    <d v="2023-01-23T00:00:00"/>
    <x v="1"/>
    <x v="1"/>
    <x v="0"/>
    <x v="2"/>
    <s v="Carbon Frame Pro"/>
    <n v="11"/>
    <n v="1478"/>
    <n v="901.58"/>
    <n v="16258"/>
    <n v="6340.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932131-EAFC-4D2C-8D8A-709A3AD3599A}" name="Pivo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1">
    <pivotField numFmtId="14" showAll="0"/>
    <pivotField showAll="0">
      <items count="3">
        <item x="0"/>
        <item x="1"/>
        <item t="default"/>
      </items>
    </pivotField>
    <pivotField showAll="0"/>
    <pivotField axis="axisRow" showAll="0">
      <items count="5">
        <item x="1"/>
        <item x="0"/>
        <item x="3"/>
        <item x="2"/>
        <item t="default"/>
      </items>
    </pivotField>
    <pivotField showAll="0">
      <items count="4">
        <item x="1"/>
        <item x="2"/>
        <item x="0"/>
        <item t="default"/>
      </items>
    </pivotField>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Revenue" fld="9"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5670B-6871-4CB3-99B8-89AE058E66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1">
    <pivotField numFmtId="14" showAll="0"/>
    <pivotField showAll="0">
      <items count="3">
        <item x="0"/>
        <item x="1"/>
        <item t="default"/>
      </items>
    </pivotField>
    <pivotField showAll="0"/>
    <pivotField showAll="0">
      <items count="5">
        <item x="1"/>
        <item x="0"/>
        <item x="3"/>
        <item x="2"/>
        <item t="default"/>
      </items>
    </pivotField>
    <pivotField axis="axisRow" showAll="0">
      <items count="4">
        <item x="1"/>
        <item x="2"/>
        <item x="0"/>
        <item t="default"/>
      </items>
    </pivotField>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Revenue"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302BBB-CC4D-4624-BD0F-021128F38A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numFmtId="14" showAll="0"/>
    <pivotField showAll="0">
      <items count="3">
        <item x="0"/>
        <item x="1"/>
        <item t="default"/>
      </items>
    </pivotField>
    <pivotField axis="axisRow" showAll="0">
      <items count="4">
        <item x="1"/>
        <item x="2"/>
        <item x="0"/>
        <item t="default"/>
      </items>
    </pivotField>
    <pivotField showAll="0">
      <items count="5">
        <item x="1"/>
        <item x="0"/>
        <item x="3"/>
        <item x="2"/>
        <item t="default"/>
      </items>
    </pivotField>
    <pivotField showAll="0">
      <items count="4">
        <item x="1"/>
        <item x="2"/>
        <item x="0"/>
        <item t="default"/>
      </items>
    </pivotField>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Revenue" fld="9"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2"/>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0ECE57-752D-4565-B21B-B1D7B5680B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numFmtId="14" showAll="0"/>
    <pivotField axis="axisRow" showAll="0">
      <items count="3">
        <item x="0"/>
        <item x="1"/>
        <item t="default"/>
      </items>
    </pivotField>
    <pivotField showAll="0"/>
    <pivotField showAll="0">
      <items count="5">
        <item x="1"/>
        <item x="0"/>
        <item x="3"/>
        <item x="2"/>
        <item t="default"/>
      </items>
    </pivotField>
    <pivotField showAll="0">
      <items count="4">
        <item x="1"/>
        <item x="2"/>
        <item x="0"/>
        <item t="default"/>
      </items>
    </pivotField>
    <pivotField showAll="0"/>
    <pivotField showAll="0"/>
    <pivotField showAll="0"/>
    <pivotField showAll="0"/>
    <pivotField dataField="1" showAll="0"/>
    <pivotField showAll="0"/>
  </pivotFields>
  <rowFields count="1">
    <field x="1"/>
  </rowFields>
  <rowItems count="3">
    <i>
      <x/>
    </i>
    <i>
      <x v="1"/>
    </i>
    <i t="grand">
      <x/>
    </i>
  </rowItems>
  <colItems count="1">
    <i/>
  </colItems>
  <dataFields count="1">
    <dataField name="Sum of Revenue"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1795DEE-C56C-4074-9EEA-77EEE6D8A91E}" sourceName="Product Category">
  <pivotTables>
    <pivotTable tabId="3" name="Pivot_region"/>
    <pivotTable tabId="4" name="PivotTable2"/>
    <pivotTable tabId="5" name="PivotTable3"/>
    <pivotTable tabId="6" name="PivotTable4"/>
  </pivotTables>
  <data>
    <tabular pivotCacheId="90077131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51399C-85EF-4E34-8076-207DFA1CBD79}" sourceName="Region">
  <pivotTables>
    <pivotTable tabId="3" name="Pivot_region"/>
    <pivotTable tabId="4" name="PivotTable2"/>
    <pivotTable tabId="5" name="PivotTable3"/>
    <pivotTable tabId="6" name="PivotTable4"/>
  </pivotTables>
  <data>
    <tabular pivotCacheId="900771314">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658EFF-3639-477F-9421-47CAE73FA831}" sourceName="Year ">
  <pivotTables>
    <pivotTable tabId="3" name="Pivot_region"/>
    <pivotTable tabId="4" name="PivotTable2"/>
    <pivotTable tabId="5" name="PivotTable3"/>
    <pivotTable tabId="6" name="PivotTable4"/>
  </pivotTables>
  <data>
    <tabular pivotCacheId="90077131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1AC201A-EDB6-4B8B-BA38-DDC6F75A2E7B}" cache="Slicer_Product_Category" caption="Product Category" rowHeight="257175"/>
  <slicer name="Region" xr10:uid="{51641C42-D23B-413B-9780-8E758804B065}" cache="Slicer_Region" caption="Region" rowHeight="257175"/>
  <slicer name="Year " xr10:uid="{97A4C441-EC70-431A-BDE1-FB2409BD5C70}" cache="Slicer_Year" caption="Year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C347D2-F846-4BFF-BAB8-EBA626F88271}" name="Sales_Data" displayName="Sales_Data" ref="A1:K251" totalsRowShown="0" headerRowDxfId="15" dataDxfId="13" headerRowBorderDxfId="14" tableBorderDxfId="12" totalsRowBorderDxfId="11">
  <autoFilter ref="A1:K251" xr:uid="{F3C347D2-F846-4BFF-BAB8-EBA626F88271}"/>
  <tableColumns count="11">
    <tableColumn id="1" xr3:uid="{71374D36-6903-4A7B-AD9C-65BB905450BC}" name="Order Date" dataDxfId="10"/>
    <tableColumn id="2" xr3:uid="{006A4CFD-AD10-412E-91AC-750476E95B80}" name="Year " dataDxfId="9"/>
    <tableColumn id="3" xr3:uid="{338548D5-FDFC-400A-8638-D5FC5C243E68}" name="Month " dataDxfId="8"/>
    <tableColumn id="4" xr3:uid="{06F2AE94-C79A-43A9-910D-D2997A2A0085}" name="Region" dataDxfId="7"/>
    <tableColumn id="5" xr3:uid="{AA0F9A2A-87DE-4BCD-8037-99C3AB5D8C06}" name="Product Category" dataDxfId="6"/>
    <tableColumn id="6" xr3:uid="{873B914E-872C-452E-9690-0D85CA1C9286}" name="Product Name" dataDxfId="5"/>
    <tableColumn id="7" xr3:uid="{92F438F2-6B42-4A80-8165-652DF1F903BC}" name="Quantity" dataDxfId="4"/>
    <tableColumn id="8" xr3:uid="{A08306F9-998E-49F1-A571-5FB6257B107E}" name="Retail Price" dataDxfId="3"/>
    <tableColumn id="9" xr3:uid="{4AB1922A-3667-466F-880D-17941A7B83FF}" name="Cost Price" dataDxfId="2"/>
    <tableColumn id="10" xr3:uid="{ACE88D62-BE43-41A1-AA1D-161B7A2201CA}" name="Revenue" dataDxfId="1">
      <calculatedColumnFormula>Sales_Data[[#This Row],[Quantity]]*Sales_Data[[#This Row],[Retail Price]]</calculatedColumnFormula>
    </tableColumn>
    <tableColumn id="11" xr3:uid="{CE941111-D1A3-410E-9CDE-23293A51D90F}" name="Profit" dataDxfId="0">
      <calculatedColumnFormula>(Sales_Data[[#This Row],[Retail Price]]-Sales_Data[[#This Row],[Cost Price]])*Sales_Data[[#This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DD97-9AB3-429D-9234-3181CB88BE0C}">
  <dimension ref="A3:B8"/>
  <sheetViews>
    <sheetView workbookViewId="0">
      <selection activeCell="A3" sqref="A3"/>
    </sheetView>
  </sheetViews>
  <sheetFormatPr defaultRowHeight="15" x14ac:dyDescent="0.25"/>
  <cols>
    <col min="1" max="1" width="13.42578125" bestFit="1" customWidth="1"/>
    <col min="2" max="2" width="15.85546875" bestFit="1" customWidth="1"/>
    <col min="3" max="3" width="16.85546875" bestFit="1" customWidth="1"/>
  </cols>
  <sheetData>
    <row r="3" spans="1:2" x14ac:dyDescent="0.25">
      <c r="A3" s="12" t="s">
        <v>29</v>
      </c>
      <c r="B3" t="s">
        <v>31</v>
      </c>
    </row>
    <row r="4" spans="1:2" x14ac:dyDescent="0.25">
      <c r="A4" s="13" t="s">
        <v>11</v>
      </c>
      <c r="B4">
        <v>696568</v>
      </c>
    </row>
    <row r="5" spans="1:2" x14ac:dyDescent="0.25">
      <c r="A5" s="13" t="s">
        <v>9</v>
      </c>
      <c r="B5">
        <v>549959</v>
      </c>
    </row>
    <row r="6" spans="1:2" x14ac:dyDescent="0.25">
      <c r="A6" s="13" t="s">
        <v>10</v>
      </c>
      <c r="B6">
        <v>823740</v>
      </c>
    </row>
    <row r="7" spans="1:2" x14ac:dyDescent="0.25">
      <c r="A7" s="13" t="s">
        <v>12</v>
      </c>
      <c r="B7">
        <v>749148</v>
      </c>
    </row>
    <row r="8" spans="1:2" x14ac:dyDescent="0.25">
      <c r="A8" s="13" t="s">
        <v>30</v>
      </c>
      <c r="B8">
        <v>2819415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92A0-8706-42D5-911F-B572D5342BF5}">
  <dimension ref="A3:B7"/>
  <sheetViews>
    <sheetView workbookViewId="0">
      <selection activeCell="A4" sqref="A4"/>
    </sheetView>
  </sheetViews>
  <sheetFormatPr defaultRowHeight="15" x14ac:dyDescent="0.25"/>
  <cols>
    <col min="1" max="1" width="14.7109375" bestFit="1" customWidth="1"/>
    <col min="2" max="2" width="15.85546875" bestFit="1" customWidth="1"/>
  </cols>
  <sheetData>
    <row r="3" spans="1:2" x14ac:dyDescent="0.25">
      <c r="A3" s="12" t="s">
        <v>29</v>
      </c>
      <c r="B3" t="s">
        <v>31</v>
      </c>
    </row>
    <row r="4" spans="1:2" x14ac:dyDescent="0.25">
      <c r="A4" s="13" t="s">
        <v>15</v>
      </c>
      <c r="B4">
        <v>905840</v>
      </c>
    </row>
    <row r="5" spans="1:2" x14ac:dyDescent="0.25">
      <c r="A5" s="13" t="s">
        <v>13</v>
      </c>
      <c r="B5">
        <v>975755</v>
      </c>
    </row>
    <row r="6" spans="1:2" x14ac:dyDescent="0.25">
      <c r="A6" s="13" t="s">
        <v>14</v>
      </c>
      <c r="B6">
        <v>937820</v>
      </c>
    </row>
    <row r="7" spans="1:2" x14ac:dyDescent="0.25">
      <c r="A7" s="13" t="s">
        <v>30</v>
      </c>
      <c r="B7">
        <v>2819415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D344-C614-4D61-8F2E-6704FD23A1FF}">
  <dimension ref="A3:B7"/>
  <sheetViews>
    <sheetView workbookViewId="0">
      <selection activeCell="D31" sqref="D31"/>
    </sheetView>
  </sheetViews>
  <sheetFormatPr defaultRowHeight="15" x14ac:dyDescent="0.25"/>
  <cols>
    <col min="1" max="1" width="13.42578125" bestFit="1" customWidth="1"/>
    <col min="2" max="2" width="15.85546875" bestFit="1" customWidth="1"/>
  </cols>
  <sheetData>
    <row r="3" spans="1:2" x14ac:dyDescent="0.25">
      <c r="A3" s="12" t="s">
        <v>29</v>
      </c>
      <c r="B3" t="s">
        <v>31</v>
      </c>
    </row>
    <row r="4" spans="1:2" x14ac:dyDescent="0.25">
      <c r="A4" s="13">
        <v>1</v>
      </c>
      <c r="B4">
        <v>930805</v>
      </c>
    </row>
    <row r="5" spans="1:2" x14ac:dyDescent="0.25">
      <c r="A5" s="13">
        <v>2</v>
      </c>
      <c r="B5">
        <v>912167</v>
      </c>
    </row>
    <row r="6" spans="1:2" x14ac:dyDescent="0.25">
      <c r="A6" s="13">
        <v>3</v>
      </c>
      <c r="B6">
        <v>976443</v>
      </c>
    </row>
    <row r="7" spans="1:2" x14ac:dyDescent="0.25">
      <c r="A7" s="13" t="s">
        <v>30</v>
      </c>
      <c r="B7">
        <v>2819415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3F750-5904-439E-812E-CB032F6A5219}">
  <dimension ref="A3:B6"/>
  <sheetViews>
    <sheetView workbookViewId="0">
      <selection activeCell="A4" sqref="A4"/>
    </sheetView>
  </sheetViews>
  <sheetFormatPr defaultRowHeight="15" x14ac:dyDescent="0.25"/>
  <cols>
    <col min="1" max="1" width="13.42578125" bestFit="1" customWidth="1"/>
    <col min="2" max="2" width="15.85546875" bestFit="1" customWidth="1"/>
  </cols>
  <sheetData>
    <row r="3" spans="1:2" x14ac:dyDescent="0.25">
      <c r="A3" s="12" t="s">
        <v>29</v>
      </c>
      <c r="B3" t="s">
        <v>31</v>
      </c>
    </row>
    <row r="4" spans="1:2" x14ac:dyDescent="0.25">
      <c r="A4" s="13">
        <v>2022</v>
      </c>
      <c r="B4">
        <v>1493181</v>
      </c>
    </row>
    <row r="5" spans="1:2" x14ac:dyDescent="0.25">
      <c r="A5" s="13">
        <v>2023</v>
      </c>
      <c r="B5">
        <v>1326234</v>
      </c>
    </row>
    <row r="6" spans="1:2" x14ac:dyDescent="0.25">
      <c r="A6" s="13" t="s">
        <v>30</v>
      </c>
      <c r="B6">
        <v>2819415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76E6-5E1A-47F5-9769-EBC3D3144081}">
  <dimension ref="A1:R430"/>
  <sheetViews>
    <sheetView tabSelected="1" workbookViewId="0">
      <selection activeCell="N13" sqref="N13"/>
    </sheetView>
  </sheetViews>
  <sheetFormatPr defaultRowHeight="15" x14ac:dyDescent="0.25"/>
  <cols>
    <col min="1" max="1" width="13.140625" customWidth="1"/>
    <col min="2" max="2" width="9.28515625" customWidth="1"/>
    <col min="3" max="3" width="11.5703125" customWidth="1"/>
    <col min="4" max="4" width="11.7109375" customWidth="1"/>
    <col min="5" max="5" width="22" customWidth="1"/>
    <col min="6" max="6" width="18.28515625" customWidth="1"/>
    <col min="7" max="7" width="13.7109375" customWidth="1"/>
    <col min="8" max="8" width="13" customWidth="1"/>
    <col min="9" max="9" width="13.140625" customWidth="1"/>
    <col min="10" max="10" width="12.42578125" customWidth="1"/>
    <col min="13" max="13" width="21.85546875" bestFit="1" customWidth="1"/>
    <col min="14" max="14" width="22" bestFit="1" customWidth="1"/>
    <col min="23" max="23" width="27.42578125" bestFit="1" customWidth="1"/>
  </cols>
  <sheetData>
    <row r="1" spans="1:18" ht="43.5" customHeight="1" x14ac:dyDescent="0.25">
      <c r="A1" s="2" t="s">
        <v>0</v>
      </c>
      <c r="B1" s="3" t="s">
        <v>1</v>
      </c>
      <c r="C1" s="3" t="s">
        <v>2</v>
      </c>
      <c r="D1" s="3" t="s">
        <v>3</v>
      </c>
      <c r="E1" s="3" t="s">
        <v>4</v>
      </c>
      <c r="F1" s="3" t="s">
        <v>5</v>
      </c>
      <c r="G1" s="3" t="s">
        <v>6</v>
      </c>
      <c r="H1" s="3" t="s">
        <v>7</v>
      </c>
      <c r="I1" s="4" t="s">
        <v>8</v>
      </c>
      <c r="J1" s="3" t="s">
        <v>21</v>
      </c>
      <c r="K1" s="3" t="s">
        <v>22</v>
      </c>
    </row>
    <row r="2" spans="1:18" ht="24" x14ac:dyDescent="0.25">
      <c r="A2" s="5">
        <v>44648</v>
      </c>
      <c r="B2" s="6">
        <v>2022</v>
      </c>
      <c r="C2" s="6">
        <v>3</v>
      </c>
      <c r="D2" s="6" t="s">
        <v>9</v>
      </c>
      <c r="E2" s="6" t="s">
        <v>14</v>
      </c>
      <c r="F2" s="6" t="s">
        <v>20</v>
      </c>
      <c r="G2" s="6">
        <v>10</v>
      </c>
      <c r="H2" s="6">
        <v>1640</v>
      </c>
      <c r="I2" s="7">
        <v>1246.4000000000001</v>
      </c>
      <c r="J2" s="11">
        <f>Sales_Data[[#This Row],[Quantity]]*Sales_Data[[#This Row],[Retail Price]]</f>
        <v>16400</v>
      </c>
      <c r="K2" s="11">
        <f>(Sales_Data[[#This Row],[Retail Price]]-Sales_Data[[#This Row],[Cost Price]])*Sales_Data[[#This Row],[Quantity]]</f>
        <v>3935.9999999999991</v>
      </c>
      <c r="M2" s="14" t="s">
        <v>23</v>
      </c>
      <c r="N2" s="14" t="s">
        <v>24</v>
      </c>
    </row>
    <row r="3" spans="1:18" ht="24" x14ac:dyDescent="0.25">
      <c r="A3" s="5">
        <v>44947</v>
      </c>
      <c r="B3" s="6">
        <v>2023</v>
      </c>
      <c r="C3" s="6">
        <v>1</v>
      </c>
      <c r="D3" s="6" t="s">
        <v>9</v>
      </c>
      <c r="E3" s="6" t="s">
        <v>15</v>
      </c>
      <c r="F3" s="6" t="s">
        <v>19</v>
      </c>
      <c r="G3" s="6">
        <v>4</v>
      </c>
      <c r="H3" s="6">
        <v>1330</v>
      </c>
      <c r="I3" s="7">
        <v>1037.4000000000001</v>
      </c>
      <c r="J3" s="6">
        <f>Sales_Data[[#This Row],[Quantity]]*Sales_Data[[#This Row],[Retail Price]]</f>
        <v>5320</v>
      </c>
      <c r="K3" s="6">
        <f>(Sales_Data[[#This Row],[Retail Price]]-Sales_Data[[#This Row],[Cost Price]])*Sales_Data[[#This Row],[Quantity]]</f>
        <v>1170.3999999999996</v>
      </c>
      <c r="M3" s="14" t="s">
        <v>25</v>
      </c>
      <c r="N3" s="15">
        <f>SUM(Sales_Data[Revenue])</f>
        <v>2819415</v>
      </c>
    </row>
    <row r="4" spans="1:18" ht="24" x14ac:dyDescent="0.25">
      <c r="A4" s="5">
        <v>44573</v>
      </c>
      <c r="B4" s="6">
        <v>2022</v>
      </c>
      <c r="C4" s="6">
        <v>1</v>
      </c>
      <c r="D4" s="6" t="s">
        <v>11</v>
      </c>
      <c r="E4" s="6" t="s">
        <v>15</v>
      </c>
      <c r="F4" s="6" t="s">
        <v>18</v>
      </c>
      <c r="G4" s="6">
        <v>5</v>
      </c>
      <c r="H4" s="6">
        <v>1402</v>
      </c>
      <c r="I4" s="7">
        <v>883.26</v>
      </c>
      <c r="J4" s="6">
        <f>Sales_Data[[#This Row],[Quantity]]*Sales_Data[[#This Row],[Retail Price]]</f>
        <v>7010</v>
      </c>
      <c r="K4" s="6">
        <f>(Sales_Data[[#This Row],[Retail Price]]-Sales_Data[[#This Row],[Cost Price]])*Sales_Data[[#This Row],[Quantity]]</f>
        <v>2593.6999999999998</v>
      </c>
      <c r="M4" s="14" t="s">
        <v>26</v>
      </c>
      <c r="N4" s="15">
        <f>SUM(Sales_Data[Profit])</f>
        <v>849445.85000000021</v>
      </c>
      <c r="Q4" s="24"/>
      <c r="R4" s="24"/>
    </row>
    <row r="5" spans="1:18" ht="24" x14ac:dyDescent="0.25">
      <c r="A5" s="5">
        <v>44967</v>
      </c>
      <c r="B5" s="6">
        <v>2023</v>
      </c>
      <c r="C5" s="6">
        <v>2</v>
      </c>
      <c r="D5" s="6" t="s">
        <v>9</v>
      </c>
      <c r="E5" s="6" t="s">
        <v>15</v>
      </c>
      <c r="F5" s="6" t="s">
        <v>17</v>
      </c>
      <c r="G5" s="6">
        <v>20</v>
      </c>
      <c r="H5" s="6">
        <v>1866</v>
      </c>
      <c r="I5" s="7">
        <v>1418.16</v>
      </c>
      <c r="J5" s="6">
        <f>Sales_Data[[#This Row],[Quantity]]*Sales_Data[[#This Row],[Retail Price]]</f>
        <v>37320</v>
      </c>
      <c r="K5" s="6">
        <f>(Sales_Data[[#This Row],[Retail Price]]-Sales_Data[[#This Row],[Cost Price]])*Sales_Data[[#This Row],[Quantity]]</f>
        <v>8956.7999999999993</v>
      </c>
      <c r="M5" s="14" t="s">
        <v>27</v>
      </c>
      <c r="N5" s="16">
        <f>N4/N3</f>
        <v>0.30128443311821784</v>
      </c>
    </row>
    <row r="6" spans="1:18" ht="24" x14ac:dyDescent="0.25">
      <c r="A6" s="5">
        <v>44573</v>
      </c>
      <c r="B6" s="6">
        <v>2022</v>
      </c>
      <c r="C6" s="6">
        <v>1</v>
      </c>
      <c r="D6" s="6" t="s">
        <v>12</v>
      </c>
      <c r="E6" s="6" t="s">
        <v>14</v>
      </c>
      <c r="F6" s="6" t="s">
        <v>17</v>
      </c>
      <c r="G6" s="6">
        <v>3</v>
      </c>
      <c r="H6" s="6">
        <v>929</v>
      </c>
      <c r="I6" s="7">
        <v>650.29999999999995</v>
      </c>
      <c r="J6" s="6">
        <f>Sales_Data[[#This Row],[Quantity]]*Sales_Data[[#This Row],[Retail Price]]</f>
        <v>2787</v>
      </c>
      <c r="K6" s="6">
        <f>(Sales_Data[[#This Row],[Retail Price]]-Sales_Data[[#This Row],[Cost Price]])*Sales_Data[[#This Row],[Quantity]]</f>
        <v>836.10000000000014</v>
      </c>
      <c r="M6" s="14" t="s">
        <v>28</v>
      </c>
      <c r="N6" s="20">
        <f>(N8-N7)/N7</f>
        <v>-0.1118062713093724</v>
      </c>
    </row>
    <row r="7" spans="1:18" ht="24" x14ac:dyDescent="0.25">
      <c r="A7" s="5">
        <v>44629</v>
      </c>
      <c r="B7" s="6">
        <v>2022</v>
      </c>
      <c r="C7" s="6">
        <v>3</v>
      </c>
      <c r="D7" s="6" t="s">
        <v>9</v>
      </c>
      <c r="E7" s="6" t="s">
        <v>14</v>
      </c>
      <c r="F7" s="6" t="s">
        <v>17</v>
      </c>
      <c r="G7" s="6">
        <v>15</v>
      </c>
      <c r="H7" s="6">
        <v>915</v>
      </c>
      <c r="I7" s="7">
        <v>732</v>
      </c>
      <c r="J7" s="6">
        <f>Sales_Data[[#This Row],[Quantity]]*Sales_Data[[#This Row],[Retail Price]]</f>
        <v>13725</v>
      </c>
      <c r="K7" s="6">
        <f>(Sales_Data[[#This Row],[Retail Price]]-Sales_Data[[#This Row],[Cost Price]])*Sales_Data[[#This Row],[Quantity]]</f>
        <v>2745</v>
      </c>
      <c r="M7" s="14" t="s">
        <v>33</v>
      </c>
      <c r="N7" s="15">
        <v>1493181</v>
      </c>
    </row>
    <row r="8" spans="1:18" ht="24" x14ac:dyDescent="0.25">
      <c r="A8" s="5">
        <v>44623</v>
      </c>
      <c r="B8" s="6">
        <v>2022</v>
      </c>
      <c r="C8" s="6">
        <v>3</v>
      </c>
      <c r="D8" s="6" t="s">
        <v>10</v>
      </c>
      <c r="E8" s="6" t="s">
        <v>13</v>
      </c>
      <c r="F8" s="6" t="s">
        <v>19</v>
      </c>
      <c r="G8" s="6">
        <v>10</v>
      </c>
      <c r="H8" s="6">
        <v>1297</v>
      </c>
      <c r="I8" s="7">
        <v>946.81</v>
      </c>
      <c r="J8" s="6">
        <f>Sales_Data[[#This Row],[Quantity]]*Sales_Data[[#This Row],[Retail Price]]</f>
        <v>12970</v>
      </c>
      <c r="K8" s="6">
        <f>(Sales_Data[[#This Row],[Retail Price]]-Sales_Data[[#This Row],[Cost Price]])*Sales_Data[[#This Row],[Quantity]]</f>
        <v>3501.9000000000005</v>
      </c>
      <c r="M8" s="14" t="s">
        <v>34</v>
      </c>
      <c r="N8" s="15">
        <v>1326234</v>
      </c>
    </row>
    <row r="9" spans="1:18" x14ac:dyDescent="0.25">
      <c r="A9" s="5">
        <v>44993</v>
      </c>
      <c r="B9" s="6">
        <v>2023</v>
      </c>
      <c r="C9" s="6">
        <v>3</v>
      </c>
      <c r="D9" s="6" t="s">
        <v>11</v>
      </c>
      <c r="E9" s="6" t="s">
        <v>13</v>
      </c>
      <c r="F9" s="6" t="s">
        <v>18</v>
      </c>
      <c r="G9" s="6">
        <v>14</v>
      </c>
      <c r="H9" s="6">
        <v>1264</v>
      </c>
      <c r="I9" s="7">
        <v>771.04</v>
      </c>
      <c r="J9" s="6">
        <f>Sales_Data[[#This Row],[Quantity]]*Sales_Data[[#This Row],[Retail Price]]</f>
        <v>17696</v>
      </c>
      <c r="K9" s="6">
        <f>(Sales_Data[[#This Row],[Retail Price]]-Sales_Data[[#This Row],[Cost Price]])*Sales_Data[[#This Row],[Quantity]]</f>
        <v>6901.4400000000005</v>
      </c>
    </row>
    <row r="10" spans="1:18" x14ac:dyDescent="0.25">
      <c r="A10" s="5">
        <v>44643</v>
      </c>
      <c r="B10" s="6">
        <v>2022</v>
      </c>
      <c r="C10" s="6">
        <v>3</v>
      </c>
      <c r="D10" s="6" t="s">
        <v>11</v>
      </c>
      <c r="E10" s="6" t="s">
        <v>13</v>
      </c>
      <c r="F10" s="6" t="s">
        <v>19</v>
      </c>
      <c r="G10" s="6">
        <v>7</v>
      </c>
      <c r="H10" s="6">
        <v>570</v>
      </c>
      <c r="I10" s="7">
        <v>393.3</v>
      </c>
      <c r="J10" s="6">
        <f>Sales_Data[[#This Row],[Quantity]]*Sales_Data[[#This Row],[Retail Price]]</f>
        <v>3990</v>
      </c>
      <c r="K10" s="6">
        <f>(Sales_Data[[#This Row],[Retail Price]]-Sales_Data[[#This Row],[Cost Price]])*Sales_Data[[#This Row],[Quantity]]</f>
        <v>1236.8999999999999</v>
      </c>
    </row>
    <row r="11" spans="1:18" x14ac:dyDescent="0.25">
      <c r="A11" s="5">
        <v>44643</v>
      </c>
      <c r="B11" s="6">
        <v>2022</v>
      </c>
      <c r="C11" s="6">
        <v>3</v>
      </c>
      <c r="D11" s="6" t="s">
        <v>9</v>
      </c>
      <c r="E11" s="6" t="s">
        <v>14</v>
      </c>
      <c r="F11" s="6" t="s">
        <v>19</v>
      </c>
      <c r="G11" s="6">
        <v>9</v>
      </c>
      <c r="H11" s="6">
        <v>1957</v>
      </c>
      <c r="I11" s="7">
        <v>1252.48</v>
      </c>
      <c r="J11" s="6">
        <f>Sales_Data[[#This Row],[Quantity]]*Sales_Data[[#This Row],[Retail Price]]</f>
        <v>17613</v>
      </c>
      <c r="K11" s="6">
        <f>(Sales_Data[[#This Row],[Retail Price]]-Sales_Data[[#This Row],[Cost Price]])*Sales_Data[[#This Row],[Quantity]]</f>
        <v>6340.68</v>
      </c>
    </row>
    <row r="12" spans="1:18" x14ac:dyDescent="0.25">
      <c r="A12" s="5">
        <v>44631</v>
      </c>
      <c r="B12" s="6">
        <v>2022</v>
      </c>
      <c r="C12" s="6">
        <v>3</v>
      </c>
      <c r="D12" s="6" t="s">
        <v>9</v>
      </c>
      <c r="E12" s="6" t="s">
        <v>15</v>
      </c>
      <c r="F12" s="6" t="s">
        <v>16</v>
      </c>
      <c r="G12" s="6">
        <v>11</v>
      </c>
      <c r="H12" s="6">
        <v>1145</v>
      </c>
      <c r="I12" s="7">
        <v>858.75</v>
      </c>
      <c r="J12" s="6">
        <f>Sales_Data[[#This Row],[Quantity]]*Sales_Data[[#This Row],[Retail Price]]</f>
        <v>12595</v>
      </c>
      <c r="K12" s="6">
        <f>(Sales_Data[[#This Row],[Retail Price]]-Sales_Data[[#This Row],[Cost Price]])*Sales_Data[[#This Row],[Quantity]]</f>
        <v>3148.75</v>
      </c>
    </row>
    <row r="13" spans="1:18" x14ac:dyDescent="0.25">
      <c r="A13" s="5">
        <v>44618</v>
      </c>
      <c r="B13" s="6">
        <v>2022</v>
      </c>
      <c r="C13" s="6">
        <v>2</v>
      </c>
      <c r="D13" s="6" t="s">
        <v>10</v>
      </c>
      <c r="E13" s="6" t="s">
        <v>15</v>
      </c>
      <c r="F13" s="6" t="s">
        <v>20</v>
      </c>
      <c r="G13" s="6">
        <v>5</v>
      </c>
      <c r="H13" s="6">
        <v>213</v>
      </c>
      <c r="I13" s="7">
        <v>149.1</v>
      </c>
      <c r="J13" s="6">
        <f>Sales_Data[[#This Row],[Quantity]]*Sales_Data[[#This Row],[Retail Price]]</f>
        <v>1065</v>
      </c>
      <c r="K13" s="6">
        <f>(Sales_Data[[#This Row],[Retail Price]]-Sales_Data[[#This Row],[Cost Price]])*Sales_Data[[#This Row],[Quantity]]</f>
        <v>319.5</v>
      </c>
    </row>
    <row r="14" spans="1:18" x14ac:dyDescent="0.25">
      <c r="A14" s="5">
        <v>44613</v>
      </c>
      <c r="B14" s="6">
        <v>2022</v>
      </c>
      <c r="C14" s="6">
        <v>2</v>
      </c>
      <c r="D14" s="6" t="s">
        <v>9</v>
      </c>
      <c r="E14" s="6" t="s">
        <v>15</v>
      </c>
      <c r="F14" s="6" t="s">
        <v>20</v>
      </c>
      <c r="G14" s="6">
        <v>4</v>
      </c>
      <c r="H14" s="6">
        <v>899</v>
      </c>
      <c r="I14" s="7">
        <v>674.25</v>
      </c>
      <c r="J14" s="6">
        <f>Sales_Data[[#This Row],[Quantity]]*Sales_Data[[#This Row],[Retail Price]]</f>
        <v>3596</v>
      </c>
      <c r="K14" s="6">
        <f>(Sales_Data[[#This Row],[Retail Price]]-Sales_Data[[#This Row],[Cost Price]])*Sales_Data[[#This Row],[Quantity]]</f>
        <v>899</v>
      </c>
    </row>
    <row r="15" spans="1:18" x14ac:dyDescent="0.25">
      <c r="A15" s="5">
        <v>44580</v>
      </c>
      <c r="B15" s="6">
        <v>2022</v>
      </c>
      <c r="C15" s="6">
        <v>1</v>
      </c>
      <c r="D15" s="6" t="s">
        <v>11</v>
      </c>
      <c r="E15" s="6" t="s">
        <v>14</v>
      </c>
      <c r="F15" s="6" t="s">
        <v>16</v>
      </c>
      <c r="G15" s="6">
        <v>3</v>
      </c>
      <c r="H15" s="6">
        <v>1762</v>
      </c>
      <c r="I15" s="7">
        <v>1180.54</v>
      </c>
      <c r="J15" s="6">
        <f>Sales_Data[[#This Row],[Quantity]]*Sales_Data[[#This Row],[Retail Price]]</f>
        <v>5286</v>
      </c>
      <c r="K15" s="6">
        <f>(Sales_Data[[#This Row],[Retail Price]]-Sales_Data[[#This Row],[Cost Price]])*Sales_Data[[#This Row],[Quantity]]</f>
        <v>1744.38</v>
      </c>
    </row>
    <row r="16" spans="1:18" x14ac:dyDescent="0.25">
      <c r="A16" s="5">
        <v>44981</v>
      </c>
      <c r="B16" s="6">
        <v>2023</v>
      </c>
      <c r="C16" s="6">
        <v>2</v>
      </c>
      <c r="D16" s="6" t="s">
        <v>11</v>
      </c>
      <c r="E16" s="6" t="s">
        <v>14</v>
      </c>
      <c r="F16" s="6" t="s">
        <v>17</v>
      </c>
      <c r="G16" s="6">
        <v>13</v>
      </c>
      <c r="H16" s="6">
        <v>1835</v>
      </c>
      <c r="I16" s="7">
        <v>1302.8499999999999</v>
      </c>
      <c r="J16" s="6">
        <f>Sales_Data[[#This Row],[Quantity]]*Sales_Data[[#This Row],[Retail Price]]</f>
        <v>23855</v>
      </c>
      <c r="K16" s="6">
        <f>(Sales_Data[[#This Row],[Retail Price]]-Sales_Data[[#This Row],[Cost Price]])*Sales_Data[[#This Row],[Quantity]]</f>
        <v>6917.9500000000007</v>
      </c>
    </row>
    <row r="17" spans="1:11" x14ac:dyDescent="0.25">
      <c r="A17" s="5">
        <v>44596</v>
      </c>
      <c r="B17" s="6">
        <v>2022</v>
      </c>
      <c r="C17" s="6">
        <v>2</v>
      </c>
      <c r="D17" s="6" t="s">
        <v>11</v>
      </c>
      <c r="E17" s="6" t="s">
        <v>14</v>
      </c>
      <c r="F17" s="6" t="s">
        <v>17</v>
      </c>
      <c r="G17" s="6">
        <v>1</v>
      </c>
      <c r="H17" s="6">
        <v>1652</v>
      </c>
      <c r="I17" s="7">
        <v>1123.3599999999999</v>
      </c>
      <c r="J17" s="6">
        <f>Sales_Data[[#This Row],[Quantity]]*Sales_Data[[#This Row],[Retail Price]]</f>
        <v>1652</v>
      </c>
      <c r="K17" s="6">
        <f>(Sales_Data[[#This Row],[Retail Price]]-Sales_Data[[#This Row],[Cost Price]])*Sales_Data[[#This Row],[Quantity]]</f>
        <v>528.6400000000001</v>
      </c>
    </row>
    <row r="18" spans="1:11" x14ac:dyDescent="0.25">
      <c r="A18" s="5">
        <v>44999</v>
      </c>
      <c r="B18" s="6">
        <v>2023</v>
      </c>
      <c r="C18" s="6">
        <v>3</v>
      </c>
      <c r="D18" s="6" t="s">
        <v>12</v>
      </c>
      <c r="E18" s="6" t="s">
        <v>14</v>
      </c>
      <c r="F18" s="6" t="s">
        <v>20</v>
      </c>
      <c r="G18" s="6">
        <v>16</v>
      </c>
      <c r="H18" s="6">
        <v>159</v>
      </c>
      <c r="I18" s="7">
        <v>98.58</v>
      </c>
      <c r="J18" s="6">
        <f>Sales_Data[[#This Row],[Quantity]]*Sales_Data[[#This Row],[Retail Price]]</f>
        <v>2544</v>
      </c>
      <c r="K18" s="6">
        <f>(Sales_Data[[#This Row],[Retail Price]]-Sales_Data[[#This Row],[Cost Price]])*Sales_Data[[#This Row],[Quantity]]</f>
        <v>966.72</v>
      </c>
    </row>
    <row r="19" spans="1:11" x14ac:dyDescent="0.25">
      <c r="A19" s="5">
        <v>44618</v>
      </c>
      <c r="B19" s="6">
        <v>2022</v>
      </c>
      <c r="C19" s="6">
        <v>2</v>
      </c>
      <c r="D19" s="6" t="s">
        <v>10</v>
      </c>
      <c r="E19" s="6" t="s">
        <v>13</v>
      </c>
      <c r="F19" s="6" t="s">
        <v>16</v>
      </c>
      <c r="G19" s="6">
        <v>10</v>
      </c>
      <c r="H19" s="6">
        <v>1760</v>
      </c>
      <c r="I19" s="7">
        <v>1196.8</v>
      </c>
      <c r="J19" s="6">
        <f>Sales_Data[[#This Row],[Quantity]]*Sales_Data[[#This Row],[Retail Price]]</f>
        <v>17600</v>
      </c>
      <c r="K19" s="6">
        <f>(Sales_Data[[#This Row],[Retail Price]]-Sales_Data[[#This Row],[Cost Price]])*Sales_Data[[#This Row],[Quantity]]</f>
        <v>5632</v>
      </c>
    </row>
    <row r="20" spans="1:11" x14ac:dyDescent="0.25">
      <c r="A20" s="5">
        <v>44587</v>
      </c>
      <c r="B20" s="6">
        <v>2022</v>
      </c>
      <c r="C20" s="6">
        <v>1</v>
      </c>
      <c r="D20" s="6" t="s">
        <v>10</v>
      </c>
      <c r="E20" s="6" t="s">
        <v>15</v>
      </c>
      <c r="F20" s="6" t="s">
        <v>18</v>
      </c>
      <c r="G20" s="6">
        <v>3</v>
      </c>
      <c r="H20" s="6">
        <v>285</v>
      </c>
      <c r="I20" s="7">
        <v>188.1</v>
      </c>
      <c r="J20" s="6">
        <f>Sales_Data[[#This Row],[Quantity]]*Sales_Data[[#This Row],[Retail Price]]</f>
        <v>855</v>
      </c>
      <c r="K20" s="6">
        <f>(Sales_Data[[#This Row],[Retail Price]]-Sales_Data[[#This Row],[Cost Price]])*Sales_Data[[#This Row],[Quantity]]</f>
        <v>290.70000000000005</v>
      </c>
    </row>
    <row r="21" spans="1:11" x14ac:dyDescent="0.25">
      <c r="A21" s="5">
        <v>44990</v>
      </c>
      <c r="B21" s="6">
        <v>2023</v>
      </c>
      <c r="C21" s="6">
        <v>3</v>
      </c>
      <c r="D21" s="6" t="s">
        <v>12</v>
      </c>
      <c r="E21" s="6" t="s">
        <v>14</v>
      </c>
      <c r="F21" s="6" t="s">
        <v>19</v>
      </c>
      <c r="G21" s="6">
        <v>1</v>
      </c>
      <c r="H21" s="6">
        <v>504</v>
      </c>
      <c r="I21" s="7">
        <v>342.72</v>
      </c>
      <c r="J21" s="6">
        <f>Sales_Data[[#This Row],[Quantity]]*Sales_Data[[#This Row],[Retail Price]]</f>
        <v>504</v>
      </c>
      <c r="K21" s="6">
        <f>(Sales_Data[[#This Row],[Retail Price]]-Sales_Data[[#This Row],[Cost Price]])*Sales_Data[[#This Row],[Quantity]]</f>
        <v>161.27999999999997</v>
      </c>
    </row>
    <row r="22" spans="1:11" x14ac:dyDescent="0.25">
      <c r="A22" s="5">
        <v>44588</v>
      </c>
      <c r="B22" s="6">
        <v>2022</v>
      </c>
      <c r="C22" s="6">
        <v>1</v>
      </c>
      <c r="D22" s="6" t="s">
        <v>12</v>
      </c>
      <c r="E22" s="6" t="s">
        <v>15</v>
      </c>
      <c r="F22" s="6" t="s">
        <v>17</v>
      </c>
      <c r="G22" s="6">
        <v>16</v>
      </c>
      <c r="H22" s="6">
        <v>729</v>
      </c>
      <c r="I22" s="7">
        <v>459.27</v>
      </c>
      <c r="J22" s="6">
        <f>Sales_Data[[#This Row],[Quantity]]*Sales_Data[[#This Row],[Retail Price]]</f>
        <v>11664</v>
      </c>
      <c r="K22" s="6">
        <f>(Sales_Data[[#This Row],[Retail Price]]-Sales_Data[[#This Row],[Cost Price]])*Sales_Data[[#This Row],[Quantity]]</f>
        <v>4315.68</v>
      </c>
    </row>
    <row r="23" spans="1:11" x14ac:dyDescent="0.25">
      <c r="A23" s="5">
        <v>44935</v>
      </c>
      <c r="B23" s="6">
        <v>2023</v>
      </c>
      <c r="C23" s="6">
        <v>1</v>
      </c>
      <c r="D23" s="6" t="s">
        <v>9</v>
      </c>
      <c r="E23" s="6" t="s">
        <v>14</v>
      </c>
      <c r="F23" s="6" t="s">
        <v>20</v>
      </c>
      <c r="G23" s="6">
        <v>19</v>
      </c>
      <c r="H23" s="6">
        <v>634</v>
      </c>
      <c r="I23" s="7">
        <v>481.84</v>
      </c>
      <c r="J23" s="6">
        <f>Sales_Data[[#This Row],[Quantity]]*Sales_Data[[#This Row],[Retail Price]]</f>
        <v>12046</v>
      </c>
      <c r="K23" s="6">
        <f>(Sales_Data[[#This Row],[Retail Price]]-Sales_Data[[#This Row],[Cost Price]])*Sales_Data[[#This Row],[Quantity]]</f>
        <v>2891.0400000000004</v>
      </c>
    </row>
    <row r="24" spans="1:11" x14ac:dyDescent="0.25">
      <c r="A24" s="5">
        <v>44997</v>
      </c>
      <c r="B24" s="6">
        <v>2023</v>
      </c>
      <c r="C24" s="6">
        <v>3</v>
      </c>
      <c r="D24" s="6" t="s">
        <v>12</v>
      </c>
      <c r="E24" s="6" t="s">
        <v>14</v>
      </c>
      <c r="F24" s="6" t="s">
        <v>19</v>
      </c>
      <c r="G24" s="6">
        <v>16</v>
      </c>
      <c r="H24" s="6">
        <v>374</v>
      </c>
      <c r="I24" s="7">
        <v>231.88</v>
      </c>
      <c r="J24" s="6">
        <f>Sales_Data[[#This Row],[Quantity]]*Sales_Data[[#This Row],[Retail Price]]</f>
        <v>5984</v>
      </c>
      <c r="K24" s="6">
        <f>(Sales_Data[[#This Row],[Retail Price]]-Sales_Data[[#This Row],[Cost Price]])*Sales_Data[[#This Row],[Quantity]]</f>
        <v>2273.92</v>
      </c>
    </row>
    <row r="25" spans="1:11" x14ac:dyDescent="0.25">
      <c r="A25" s="5">
        <v>44567</v>
      </c>
      <c r="B25" s="6">
        <v>2022</v>
      </c>
      <c r="C25" s="6">
        <v>1</v>
      </c>
      <c r="D25" s="6" t="s">
        <v>12</v>
      </c>
      <c r="E25" s="6" t="s">
        <v>15</v>
      </c>
      <c r="F25" s="6" t="s">
        <v>20</v>
      </c>
      <c r="G25" s="6">
        <v>7</v>
      </c>
      <c r="H25" s="6">
        <v>173</v>
      </c>
      <c r="I25" s="7">
        <v>122.83</v>
      </c>
      <c r="J25" s="6">
        <f>Sales_Data[[#This Row],[Quantity]]*Sales_Data[[#This Row],[Retail Price]]</f>
        <v>1211</v>
      </c>
      <c r="K25" s="6">
        <f>(Sales_Data[[#This Row],[Retail Price]]-Sales_Data[[#This Row],[Cost Price]])*Sales_Data[[#This Row],[Quantity]]</f>
        <v>351.19</v>
      </c>
    </row>
    <row r="26" spans="1:11" x14ac:dyDescent="0.25">
      <c r="A26" s="5">
        <v>44994</v>
      </c>
      <c r="B26" s="6">
        <v>2023</v>
      </c>
      <c r="C26" s="6">
        <v>3</v>
      </c>
      <c r="D26" s="6" t="s">
        <v>11</v>
      </c>
      <c r="E26" s="6" t="s">
        <v>15</v>
      </c>
      <c r="F26" s="6" t="s">
        <v>17</v>
      </c>
      <c r="G26" s="6">
        <v>5</v>
      </c>
      <c r="H26" s="6">
        <v>1637</v>
      </c>
      <c r="I26" s="7">
        <v>1227.75</v>
      </c>
      <c r="J26" s="6">
        <f>Sales_Data[[#This Row],[Quantity]]*Sales_Data[[#This Row],[Retail Price]]</f>
        <v>8185</v>
      </c>
      <c r="K26" s="6">
        <f>(Sales_Data[[#This Row],[Retail Price]]-Sales_Data[[#This Row],[Cost Price]])*Sales_Data[[#This Row],[Quantity]]</f>
        <v>2046.25</v>
      </c>
    </row>
    <row r="27" spans="1:11" x14ac:dyDescent="0.25">
      <c r="A27" s="5">
        <v>44564</v>
      </c>
      <c r="B27" s="6">
        <v>2022</v>
      </c>
      <c r="C27" s="6">
        <v>1</v>
      </c>
      <c r="D27" s="6" t="s">
        <v>12</v>
      </c>
      <c r="E27" s="6" t="s">
        <v>13</v>
      </c>
      <c r="F27" s="6" t="s">
        <v>18</v>
      </c>
      <c r="G27" s="6">
        <v>20</v>
      </c>
      <c r="H27" s="6">
        <v>1997</v>
      </c>
      <c r="I27" s="7">
        <v>1298.05</v>
      </c>
      <c r="J27" s="6">
        <f>Sales_Data[[#This Row],[Quantity]]*Sales_Data[[#This Row],[Retail Price]]</f>
        <v>39940</v>
      </c>
      <c r="K27" s="6">
        <f>(Sales_Data[[#This Row],[Retail Price]]-Sales_Data[[#This Row],[Cost Price]])*Sales_Data[[#This Row],[Quantity]]</f>
        <v>13979</v>
      </c>
    </row>
    <row r="28" spans="1:11" x14ac:dyDescent="0.25">
      <c r="A28" s="5">
        <v>44599</v>
      </c>
      <c r="B28" s="6">
        <v>2022</v>
      </c>
      <c r="C28" s="6">
        <v>2</v>
      </c>
      <c r="D28" s="6" t="s">
        <v>9</v>
      </c>
      <c r="E28" s="6" t="s">
        <v>13</v>
      </c>
      <c r="F28" s="6" t="s">
        <v>19</v>
      </c>
      <c r="G28" s="6">
        <v>16</v>
      </c>
      <c r="H28" s="6">
        <v>326</v>
      </c>
      <c r="I28" s="7">
        <v>221.68</v>
      </c>
      <c r="J28" s="6">
        <f>Sales_Data[[#This Row],[Quantity]]*Sales_Data[[#This Row],[Retail Price]]</f>
        <v>5216</v>
      </c>
      <c r="K28" s="6">
        <f>(Sales_Data[[#This Row],[Retail Price]]-Sales_Data[[#This Row],[Cost Price]])*Sales_Data[[#This Row],[Quantity]]</f>
        <v>1669.12</v>
      </c>
    </row>
    <row r="29" spans="1:11" x14ac:dyDescent="0.25">
      <c r="A29" s="5">
        <v>44622</v>
      </c>
      <c r="B29" s="6">
        <v>2022</v>
      </c>
      <c r="C29" s="6">
        <v>3</v>
      </c>
      <c r="D29" s="6" t="s">
        <v>10</v>
      </c>
      <c r="E29" s="6" t="s">
        <v>13</v>
      </c>
      <c r="F29" s="6" t="s">
        <v>17</v>
      </c>
      <c r="G29" s="6">
        <v>3</v>
      </c>
      <c r="H29" s="6">
        <v>559</v>
      </c>
      <c r="I29" s="7">
        <v>368.94</v>
      </c>
      <c r="J29" s="6">
        <f>Sales_Data[[#This Row],[Quantity]]*Sales_Data[[#This Row],[Retail Price]]</f>
        <v>1677</v>
      </c>
      <c r="K29" s="6">
        <f>(Sales_Data[[#This Row],[Retail Price]]-Sales_Data[[#This Row],[Cost Price]])*Sales_Data[[#This Row],[Quantity]]</f>
        <v>570.18000000000006</v>
      </c>
    </row>
    <row r="30" spans="1:11" x14ac:dyDescent="0.25">
      <c r="A30" s="5">
        <v>44633</v>
      </c>
      <c r="B30" s="6">
        <v>2022</v>
      </c>
      <c r="C30" s="6">
        <v>3</v>
      </c>
      <c r="D30" s="6" t="s">
        <v>11</v>
      </c>
      <c r="E30" s="6" t="s">
        <v>15</v>
      </c>
      <c r="F30" s="6" t="s">
        <v>19</v>
      </c>
      <c r="G30" s="6">
        <v>14</v>
      </c>
      <c r="H30" s="6">
        <v>1246</v>
      </c>
      <c r="I30" s="7">
        <v>760.06</v>
      </c>
      <c r="J30" s="6">
        <f>Sales_Data[[#This Row],[Quantity]]*Sales_Data[[#This Row],[Retail Price]]</f>
        <v>17444</v>
      </c>
      <c r="K30" s="6">
        <f>(Sales_Data[[#This Row],[Retail Price]]-Sales_Data[[#This Row],[Cost Price]])*Sales_Data[[#This Row],[Quantity]]</f>
        <v>6803.1600000000008</v>
      </c>
    </row>
    <row r="31" spans="1:11" x14ac:dyDescent="0.25">
      <c r="A31" s="5">
        <v>44958</v>
      </c>
      <c r="B31" s="6">
        <v>2023</v>
      </c>
      <c r="C31" s="6">
        <v>2</v>
      </c>
      <c r="D31" s="6" t="s">
        <v>11</v>
      </c>
      <c r="E31" s="6" t="s">
        <v>15</v>
      </c>
      <c r="F31" s="6" t="s">
        <v>18</v>
      </c>
      <c r="G31" s="6">
        <v>15</v>
      </c>
      <c r="H31" s="6">
        <v>1456</v>
      </c>
      <c r="I31" s="7">
        <v>917.28</v>
      </c>
      <c r="J31" s="6">
        <f>Sales_Data[[#This Row],[Quantity]]*Sales_Data[[#This Row],[Retail Price]]</f>
        <v>21840</v>
      </c>
      <c r="K31" s="6">
        <f>(Sales_Data[[#This Row],[Retail Price]]-Sales_Data[[#This Row],[Cost Price]])*Sales_Data[[#This Row],[Quantity]]</f>
        <v>8080.8</v>
      </c>
    </row>
    <row r="32" spans="1:11" x14ac:dyDescent="0.25">
      <c r="A32" s="5">
        <v>44942</v>
      </c>
      <c r="B32" s="6">
        <v>2023</v>
      </c>
      <c r="C32" s="6">
        <v>1</v>
      </c>
      <c r="D32" s="6" t="s">
        <v>12</v>
      </c>
      <c r="E32" s="6" t="s">
        <v>15</v>
      </c>
      <c r="F32" s="6" t="s">
        <v>16</v>
      </c>
      <c r="G32" s="6">
        <v>4</v>
      </c>
      <c r="H32" s="6">
        <v>1355</v>
      </c>
      <c r="I32" s="7">
        <v>962.05</v>
      </c>
      <c r="J32" s="6">
        <f>Sales_Data[[#This Row],[Quantity]]*Sales_Data[[#This Row],[Retail Price]]</f>
        <v>5420</v>
      </c>
      <c r="K32" s="6">
        <f>(Sales_Data[[#This Row],[Retail Price]]-Sales_Data[[#This Row],[Cost Price]])*Sales_Data[[#This Row],[Quantity]]</f>
        <v>1571.8000000000002</v>
      </c>
    </row>
    <row r="33" spans="1:11" x14ac:dyDescent="0.25">
      <c r="A33" s="5">
        <v>44582</v>
      </c>
      <c r="B33" s="6">
        <v>2022</v>
      </c>
      <c r="C33" s="6">
        <v>1</v>
      </c>
      <c r="D33" s="6" t="s">
        <v>12</v>
      </c>
      <c r="E33" s="6" t="s">
        <v>15</v>
      </c>
      <c r="F33" s="6" t="s">
        <v>17</v>
      </c>
      <c r="G33" s="6">
        <v>2</v>
      </c>
      <c r="H33" s="6">
        <v>1910</v>
      </c>
      <c r="I33" s="7">
        <v>1394.3</v>
      </c>
      <c r="J33" s="6">
        <f>Sales_Data[[#This Row],[Quantity]]*Sales_Data[[#This Row],[Retail Price]]</f>
        <v>3820</v>
      </c>
      <c r="K33" s="6">
        <f>(Sales_Data[[#This Row],[Retail Price]]-Sales_Data[[#This Row],[Cost Price]])*Sales_Data[[#This Row],[Quantity]]</f>
        <v>1031.4000000000001</v>
      </c>
    </row>
    <row r="34" spans="1:11" x14ac:dyDescent="0.25">
      <c r="A34" s="5">
        <v>44987</v>
      </c>
      <c r="B34" s="6">
        <v>2023</v>
      </c>
      <c r="C34" s="6">
        <v>3</v>
      </c>
      <c r="D34" s="6" t="s">
        <v>12</v>
      </c>
      <c r="E34" s="6" t="s">
        <v>15</v>
      </c>
      <c r="F34" s="6" t="s">
        <v>18</v>
      </c>
      <c r="G34" s="6">
        <v>3</v>
      </c>
      <c r="H34" s="6">
        <v>581</v>
      </c>
      <c r="I34" s="7">
        <v>371.84</v>
      </c>
      <c r="J34" s="6">
        <f>Sales_Data[[#This Row],[Quantity]]*Sales_Data[[#This Row],[Retail Price]]</f>
        <v>1743</v>
      </c>
      <c r="K34" s="6">
        <f>(Sales_Data[[#This Row],[Retail Price]]-Sales_Data[[#This Row],[Cost Price]])*Sales_Data[[#This Row],[Quantity]]</f>
        <v>627.48</v>
      </c>
    </row>
    <row r="35" spans="1:11" x14ac:dyDescent="0.25">
      <c r="A35" s="5">
        <v>44585</v>
      </c>
      <c r="B35" s="6">
        <v>2022</v>
      </c>
      <c r="C35" s="6">
        <v>1</v>
      </c>
      <c r="D35" s="6" t="s">
        <v>12</v>
      </c>
      <c r="E35" s="6" t="s">
        <v>15</v>
      </c>
      <c r="F35" s="6" t="s">
        <v>18</v>
      </c>
      <c r="G35" s="6">
        <v>17</v>
      </c>
      <c r="H35" s="6">
        <v>1264</v>
      </c>
      <c r="I35" s="7">
        <v>783.68</v>
      </c>
      <c r="J35" s="6">
        <f>Sales_Data[[#This Row],[Quantity]]*Sales_Data[[#This Row],[Retail Price]]</f>
        <v>21488</v>
      </c>
      <c r="K35" s="6">
        <f>(Sales_Data[[#This Row],[Retail Price]]-Sales_Data[[#This Row],[Cost Price]])*Sales_Data[[#This Row],[Quantity]]</f>
        <v>8165.4400000000005</v>
      </c>
    </row>
    <row r="36" spans="1:11" x14ac:dyDescent="0.25">
      <c r="A36" s="5">
        <v>44609</v>
      </c>
      <c r="B36" s="6">
        <v>2022</v>
      </c>
      <c r="C36" s="6">
        <v>2</v>
      </c>
      <c r="D36" s="6" t="s">
        <v>9</v>
      </c>
      <c r="E36" s="6" t="s">
        <v>15</v>
      </c>
      <c r="F36" s="6" t="s">
        <v>20</v>
      </c>
      <c r="G36" s="6">
        <v>13</v>
      </c>
      <c r="H36" s="6">
        <v>305</v>
      </c>
      <c r="I36" s="7">
        <v>213.5</v>
      </c>
      <c r="J36" s="6">
        <f>Sales_Data[[#This Row],[Quantity]]*Sales_Data[[#This Row],[Retail Price]]</f>
        <v>3965</v>
      </c>
      <c r="K36" s="6">
        <f>(Sales_Data[[#This Row],[Retail Price]]-Sales_Data[[#This Row],[Cost Price]])*Sales_Data[[#This Row],[Quantity]]</f>
        <v>1189.5</v>
      </c>
    </row>
    <row r="37" spans="1:11" x14ac:dyDescent="0.25">
      <c r="A37" s="5">
        <v>44570</v>
      </c>
      <c r="B37" s="6">
        <v>2022</v>
      </c>
      <c r="C37" s="6">
        <v>1</v>
      </c>
      <c r="D37" s="6" t="s">
        <v>10</v>
      </c>
      <c r="E37" s="6" t="s">
        <v>13</v>
      </c>
      <c r="F37" s="6" t="s">
        <v>19</v>
      </c>
      <c r="G37" s="6">
        <v>9</v>
      </c>
      <c r="H37" s="6">
        <v>692</v>
      </c>
      <c r="I37" s="7">
        <v>456.72</v>
      </c>
      <c r="J37" s="6">
        <f>Sales_Data[[#This Row],[Quantity]]*Sales_Data[[#This Row],[Retail Price]]</f>
        <v>6228</v>
      </c>
      <c r="K37" s="6">
        <f>(Sales_Data[[#This Row],[Retail Price]]-Sales_Data[[#This Row],[Cost Price]])*Sales_Data[[#This Row],[Quantity]]</f>
        <v>2117.5199999999995</v>
      </c>
    </row>
    <row r="38" spans="1:11" x14ac:dyDescent="0.25">
      <c r="A38" s="5">
        <v>44976</v>
      </c>
      <c r="B38" s="6">
        <v>2023</v>
      </c>
      <c r="C38" s="6">
        <v>2</v>
      </c>
      <c r="D38" s="6" t="s">
        <v>10</v>
      </c>
      <c r="E38" s="6" t="s">
        <v>15</v>
      </c>
      <c r="F38" s="6" t="s">
        <v>17</v>
      </c>
      <c r="G38" s="6">
        <v>9</v>
      </c>
      <c r="H38" s="6">
        <v>1535</v>
      </c>
      <c r="I38" s="7">
        <v>1151.25</v>
      </c>
      <c r="J38" s="6">
        <f>Sales_Data[[#This Row],[Quantity]]*Sales_Data[[#This Row],[Retail Price]]</f>
        <v>13815</v>
      </c>
      <c r="K38" s="6">
        <f>(Sales_Data[[#This Row],[Retail Price]]-Sales_Data[[#This Row],[Cost Price]])*Sales_Data[[#This Row],[Quantity]]</f>
        <v>3453.75</v>
      </c>
    </row>
    <row r="39" spans="1:11" x14ac:dyDescent="0.25">
      <c r="A39" s="5">
        <v>44978</v>
      </c>
      <c r="B39" s="6">
        <v>2023</v>
      </c>
      <c r="C39" s="6">
        <v>2</v>
      </c>
      <c r="D39" s="6" t="s">
        <v>9</v>
      </c>
      <c r="E39" s="6" t="s">
        <v>13</v>
      </c>
      <c r="F39" s="6" t="s">
        <v>18</v>
      </c>
      <c r="G39" s="6">
        <v>18</v>
      </c>
      <c r="H39" s="6">
        <v>1131</v>
      </c>
      <c r="I39" s="7">
        <v>769.08</v>
      </c>
      <c r="J39" s="6">
        <f>Sales_Data[[#This Row],[Quantity]]*Sales_Data[[#This Row],[Retail Price]]</f>
        <v>20358</v>
      </c>
      <c r="K39" s="6">
        <f>(Sales_Data[[#This Row],[Retail Price]]-Sales_Data[[#This Row],[Cost Price]])*Sales_Data[[#This Row],[Quantity]]</f>
        <v>6514.5599999999995</v>
      </c>
    </row>
    <row r="40" spans="1:11" x14ac:dyDescent="0.25">
      <c r="A40" s="5">
        <v>44630</v>
      </c>
      <c r="B40" s="6">
        <v>2022</v>
      </c>
      <c r="C40" s="6">
        <v>3</v>
      </c>
      <c r="D40" s="6" t="s">
        <v>11</v>
      </c>
      <c r="E40" s="6" t="s">
        <v>15</v>
      </c>
      <c r="F40" s="6" t="s">
        <v>16</v>
      </c>
      <c r="G40" s="6">
        <v>14</v>
      </c>
      <c r="H40" s="6">
        <v>1246</v>
      </c>
      <c r="I40" s="7">
        <v>959.42</v>
      </c>
      <c r="J40" s="6">
        <f>Sales_Data[[#This Row],[Quantity]]*Sales_Data[[#This Row],[Retail Price]]</f>
        <v>17444</v>
      </c>
      <c r="K40" s="6">
        <f>(Sales_Data[[#This Row],[Retail Price]]-Sales_Data[[#This Row],[Cost Price]])*Sales_Data[[#This Row],[Quantity]]</f>
        <v>4012.1200000000008</v>
      </c>
    </row>
    <row r="41" spans="1:11" x14ac:dyDescent="0.25">
      <c r="A41" s="5">
        <v>44999</v>
      </c>
      <c r="B41" s="6">
        <v>2023</v>
      </c>
      <c r="C41" s="6">
        <v>3</v>
      </c>
      <c r="D41" s="6" t="s">
        <v>10</v>
      </c>
      <c r="E41" s="6" t="s">
        <v>13</v>
      </c>
      <c r="F41" s="6" t="s">
        <v>19</v>
      </c>
      <c r="G41" s="6">
        <v>14</v>
      </c>
      <c r="H41" s="6">
        <v>1593</v>
      </c>
      <c r="I41" s="7">
        <v>1083.24</v>
      </c>
      <c r="J41" s="6">
        <f>Sales_Data[[#This Row],[Quantity]]*Sales_Data[[#This Row],[Retail Price]]</f>
        <v>22302</v>
      </c>
      <c r="K41" s="6">
        <f>(Sales_Data[[#This Row],[Retail Price]]-Sales_Data[[#This Row],[Cost Price]])*Sales_Data[[#This Row],[Quantity]]</f>
        <v>7136.6399999999994</v>
      </c>
    </row>
    <row r="42" spans="1:11" x14ac:dyDescent="0.25">
      <c r="A42" s="5">
        <v>44633</v>
      </c>
      <c r="B42" s="6">
        <v>2022</v>
      </c>
      <c r="C42" s="6">
        <v>3</v>
      </c>
      <c r="D42" s="6" t="s">
        <v>12</v>
      </c>
      <c r="E42" s="6" t="s">
        <v>15</v>
      </c>
      <c r="F42" s="6" t="s">
        <v>19</v>
      </c>
      <c r="G42" s="6">
        <v>6</v>
      </c>
      <c r="H42" s="6">
        <v>968</v>
      </c>
      <c r="I42" s="7">
        <v>755.04</v>
      </c>
      <c r="J42" s="6">
        <f>Sales_Data[[#This Row],[Quantity]]*Sales_Data[[#This Row],[Retail Price]]</f>
        <v>5808</v>
      </c>
      <c r="K42" s="6">
        <f>(Sales_Data[[#This Row],[Retail Price]]-Sales_Data[[#This Row],[Cost Price]])*Sales_Data[[#This Row],[Quantity]]</f>
        <v>1277.7600000000002</v>
      </c>
    </row>
    <row r="43" spans="1:11" x14ac:dyDescent="0.25">
      <c r="A43" s="5">
        <v>44985</v>
      </c>
      <c r="B43" s="6">
        <v>2023</v>
      </c>
      <c r="C43" s="6">
        <v>2</v>
      </c>
      <c r="D43" s="6" t="s">
        <v>9</v>
      </c>
      <c r="E43" s="6" t="s">
        <v>15</v>
      </c>
      <c r="F43" s="6" t="s">
        <v>20</v>
      </c>
      <c r="G43" s="6">
        <v>8</v>
      </c>
      <c r="H43" s="6">
        <v>642</v>
      </c>
      <c r="I43" s="7">
        <v>449.4</v>
      </c>
      <c r="J43" s="6">
        <f>Sales_Data[[#This Row],[Quantity]]*Sales_Data[[#This Row],[Retail Price]]</f>
        <v>5136</v>
      </c>
      <c r="K43" s="6">
        <f>(Sales_Data[[#This Row],[Retail Price]]-Sales_Data[[#This Row],[Cost Price]])*Sales_Data[[#This Row],[Quantity]]</f>
        <v>1540.8000000000002</v>
      </c>
    </row>
    <row r="44" spans="1:11" x14ac:dyDescent="0.25">
      <c r="A44" s="5">
        <v>44597</v>
      </c>
      <c r="B44" s="6">
        <v>2022</v>
      </c>
      <c r="C44" s="6">
        <v>2</v>
      </c>
      <c r="D44" s="6" t="s">
        <v>9</v>
      </c>
      <c r="E44" s="6" t="s">
        <v>13</v>
      </c>
      <c r="F44" s="6" t="s">
        <v>20</v>
      </c>
      <c r="G44" s="6">
        <v>1</v>
      </c>
      <c r="H44" s="6">
        <v>1487</v>
      </c>
      <c r="I44" s="7">
        <v>1115.25</v>
      </c>
      <c r="J44" s="6">
        <f>Sales_Data[[#This Row],[Quantity]]*Sales_Data[[#This Row],[Retail Price]]</f>
        <v>1487</v>
      </c>
      <c r="K44" s="6">
        <f>(Sales_Data[[#This Row],[Retail Price]]-Sales_Data[[#This Row],[Cost Price]])*Sales_Data[[#This Row],[Quantity]]</f>
        <v>371.75</v>
      </c>
    </row>
    <row r="45" spans="1:11" x14ac:dyDescent="0.25">
      <c r="A45" s="5">
        <v>44573</v>
      </c>
      <c r="B45" s="6">
        <v>2022</v>
      </c>
      <c r="C45" s="6">
        <v>1</v>
      </c>
      <c r="D45" s="6" t="s">
        <v>9</v>
      </c>
      <c r="E45" s="6" t="s">
        <v>14</v>
      </c>
      <c r="F45" s="6" t="s">
        <v>16</v>
      </c>
      <c r="G45" s="6">
        <v>6</v>
      </c>
      <c r="H45" s="6">
        <v>855</v>
      </c>
      <c r="I45" s="7">
        <v>607.04999999999995</v>
      </c>
      <c r="J45" s="6">
        <f>Sales_Data[[#This Row],[Quantity]]*Sales_Data[[#This Row],[Retail Price]]</f>
        <v>5130</v>
      </c>
      <c r="K45" s="6">
        <f>(Sales_Data[[#This Row],[Retail Price]]-Sales_Data[[#This Row],[Cost Price]])*Sales_Data[[#This Row],[Quantity]]</f>
        <v>1487.7000000000003</v>
      </c>
    </row>
    <row r="46" spans="1:11" x14ac:dyDescent="0.25">
      <c r="A46" s="5">
        <v>44981</v>
      </c>
      <c r="B46" s="6">
        <v>2023</v>
      </c>
      <c r="C46" s="6">
        <v>2</v>
      </c>
      <c r="D46" s="6" t="s">
        <v>10</v>
      </c>
      <c r="E46" s="6" t="s">
        <v>14</v>
      </c>
      <c r="F46" s="6" t="s">
        <v>19</v>
      </c>
      <c r="G46" s="6">
        <v>2</v>
      </c>
      <c r="H46" s="6">
        <v>437</v>
      </c>
      <c r="I46" s="7">
        <v>305.89999999999998</v>
      </c>
      <c r="J46" s="6">
        <f>Sales_Data[[#This Row],[Quantity]]*Sales_Data[[#This Row],[Retail Price]]</f>
        <v>874</v>
      </c>
      <c r="K46" s="6">
        <f>(Sales_Data[[#This Row],[Retail Price]]-Sales_Data[[#This Row],[Cost Price]])*Sales_Data[[#This Row],[Quantity]]</f>
        <v>262.20000000000005</v>
      </c>
    </row>
    <row r="47" spans="1:11" x14ac:dyDescent="0.25">
      <c r="A47" s="5">
        <v>44623</v>
      </c>
      <c r="B47" s="6">
        <v>2022</v>
      </c>
      <c r="C47" s="6">
        <v>3</v>
      </c>
      <c r="D47" s="6" t="s">
        <v>11</v>
      </c>
      <c r="E47" s="6" t="s">
        <v>13</v>
      </c>
      <c r="F47" s="6" t="s">
        <v>20</v>
      </c>
      <c r="G47" s="6">
        <v>9</v>
      </c>
      <c r="H47" s="6">
        <v>1248</v>
      </c>
      <c r="I47" s="7">
        <v>873.6</v>
      </c>
      <c r="J47" s="6">
        <f>Sales_Data[[#This Row],[Quantity]]*Sales_Data[[#This Row],[Retail Price]]</f>
        <v>11232</v>
      </c>
      <c r="K47" s="6">
        <f>(Sales_Data[[#This Row],[Retail Price]]-Sales_Data[[#This Row],[Cost Price]])*Sales_Data[[#This Row],[Quantity]]</f>
        <v>3369.6</v>
      </c>
    </row>
    <row r="48" spans="1:11" x14ac:dyDescent="0.25">
      <c r="A48" s="5">
        <v>44968</v>
      </c>
      <c r="B48" s="6">
        <v>2023</v>
      </c>
      <c r="C48" s="6">
        <v>2</v>
      </c>
      <c r="D48" s="6" t="s">
        <v>10</v>
      </c>
      <c r="E48" s="6" t="s">
        <v>13</v>
      </c>
      <c r="F48" s="6" t="s">
        <v>16</v>
      </c>
      <c r="G48" s="6">
        <v>2</v>
      </c>
      <c r="H48" s="6">
        <v>1025</v>
      </c>
      <c r="I48" s="7">
        <v>645.75</v>
      </c>
      <c r="J48" s="6">
        <f>Sales_Data[[#This Row],[Quantity]]*Sales_Data[[#This Row],[Retail Price]]</f>
        <v>2050</v>
      </c>
      <c r="K48" s="6">
        <f>(Sales_Data[[#This Row],[Retail Price]]-Sales_Data[[#This Row],[Cost Price]])*Sales_Data[[#This Row],[Quantity]]</f>
        <v>758.5</v>
      </c>
    </row>
    <row r="49" spans="1:11" x14ac:dyDescent="0.25">
      <c r="A49" s="5">
        <v>44585</v>
      </c>
      <c r="B49" s="6">
        <v>2022</v>
      </c>
      <c r="C49" s="6">
        <v>1</v>
      </c>
      <c r="D49" s="6" t="s">
        <v>10</v>
      </c>
      <c r="E49" s="6" t="s">
        <v>13</v>
      </c>
      <c r="F49" s="6" t="s">
        <v>16</v>
      </c>
      <c r="G49" s="6">
        <v>11</v>
      </c>
      <c r="H49" s="6">
        <v>270</v>
      </c>
      <c r="I49" s="7">
        <v>202.5</v>
      </c>
      <c r="J49" s="6">
        <f>Sales_Data[[#This Row],[Quantity]]*Sales_Data[[#This Row],[Retail Price]]</f>
        <v>2970</v>
      </c>
      <c r="K49" s="6">
        <f>(Sales_Data[[#This Row],[Retail Price]]-Sales_Data[[#This Row],[Cost Price]])*Sales_Data[[#This Row],[Quantity]]</f>
        <v>742.5</v>
      </c>
    </row>
    <row r="50" spans="1:11" x14ac:dyDescent="0.25">
      <c r="A50" s="5">
        <v>44623</v>
      </c>
      <c r="B50" s="6">
        <v>2022</v>
      </c>
      <c r="C50" s="6">
        <v>3</v>
      </c>
      <c r="D50" s="6" t="s">
        <v>9</v>
      </c>
      <c r="E50" s="6" t="s">
        <v>14</v>
      </c>
      <c r="F50" s="6" t="s">
        <v>20</v>
      </c>
      <c r="G50" s="6">
        <v>6</v>
      </c>
      <c r="H50" s="6">
        <v>582</v>
      </c>
      <c r="I50" s="7">
        <v>401.58</v>
      </c>
      <c r="J50" s="6">
        <f>Sales_Data[[#This Row],[Quantity]]*Sales_Data[[#This Row],[Retail Price]]</f>
        <v>3492</v>
      </c>
      <c r="K50" s="6">
        <f>(Sales_Data[[#This Row],[Retail Price]]-Sales_Data[[#This Row],[Cost Price]])*Sales_Data[[#This Row],[Quantity]]</f>
        <v>1082.52</v>
      </c>
    </row>
    <row r="51" spans="1:11" x14ac:dyDescent="0.25">
      <c r="A51" s="5">
        <v>44966</v>
      </c>
      <c r="B51" s="6">
        <v>2023</v>
      </c>
      <c r="C51" s="6">
        <v>2</v>
      </c>
      <c r="D51" s="6" t="s">
        <v>11</v>
      </c>
      <c r="E51" s="6" t="s">
        <v>15</v>
      </c>
      <c r="F51" s="6" t="s">
        <v>20</v>
      </c>
      <c r="G51" s="6">
        <v>18</v>
      </c>
      <c r="H51" s="6">
        <v>1704</v>
      </c>
      <c r="I51" s="7">
        <v>1158.72</v>
      </c>
      <c r="J51" s="6">
        <f>Sales_Data[[#This Row],[Quantity]]*Sales_Data[[#This Row],[Retail Price]]</f>
        <v>30672</v>
      </c>
      <c r="K51" s="6">
        <f>(Sales_Data[[#This Row],[Retail Price]]-Sales_Data[[#This Row],[Cost Price]])*Sales_Data[[#This Row],[Quantity]]</f>
        <v>9815.0399999999991</v>
      </c>
    </row>
    <row r="52" spans="1:11" x14ac:dyDescent="0.25">
      <c r="A52" s="5">
        <v>44983</v>
      </c>
      <c r="B52" s="6">
        <v>2023</v>
      </c>
      <c r="C52" s="6">
        <v>2</v>
      </c>
      <c r="D52" s="6" t="s">
        <v>9</v>
      </c>
      <c r="E52" s="6" t="s">
        <v>14</v>
      </c>
      <c r="F52" s="6" t="s">
        <v>20</v>
      </c>
      <c r="G52" s="6">
        <v>15</v>
      </c>
      <c r="H52" s="6">
        <v>1825</v>
      </c>
      <c r="I52" s="7">
        <v>1423.5</v>
      </c>
      <c r="J52" s="6">
        <f>Sales_Data[[#This Row],[Quantity]]*Sales_Data[[#This Row],[Retail Price]]</f>
        <v>27375</v>
      </c>
      <c r="K52" s="6">
        <f>(Sales_Data[[#This Row],[Retail Price]]-Sales_Data[[#This Row],[Cost Price]])*Sales_Data[[#This Row],[Quantity]]</f>
        <v>6022.5</v>
      </c>
    </row>
    <row r="53" spans="1:11" x14ac:dyDescent="0.25">
      <c r="A53" s="5">
        <v>44580</v>
      </c>
      <c r="B53" s="6">
        <v>2022</v>
      </c>
      <c r="C53" s="6">
        <v>1</v>
      </c>
      <c r="D53" s="6" t="s">
        <v>10</v>
      </c>
      <c r="E53" s="6" t="s">
        <v>14</v>
      </c>
      <c r="F53" s="6" t="s">
        <v>17</v>
      </c>
      <c r="G53" s="6">
        <v>8</v>
      </c>
      <c r="H53" s="6">
        <v>1932</v>
      </c>
      <c r="I53" s="7">
        <v>1410.36</v>
      </c>
      <c r="J53" s="6">
        <f>Sales_Data[[#This Row],[Quantity]]*Sales_Data[[#This Row],[Retail Price]]</f>
        <v>15456</v>
      </c>
      <c r="K53" s="6">
        <f>(Sales_Data[[#This Row],[Retail Price]]-Sales_Data[[#This Row],[Cost Price]])*Sales_Data[[#This Row],[Quantity]]</f>
        <v>4173.1200000000008</v>
      </c>
    </row>
    <row r="54" spans="1:11" x14ac:dyDescent="0.25">
      <c r="A54" s="5">
        <v>44930</v>
      </c>
      <c r="B54" s="6">
        <v>2023</v>
      </c>
      <c r="C54" s="6">
        <v>1</v>
      </c>
      <c r="D54" s="6" t="s">
        <v>11</v>
      </c>
      <c r="E54" s="6" t="s">
        <v>14</v>
      </c>
      <c r="F54" s="6" t="s">
        <v>18</v>
      </c>
      <c r="G54" s="6">
        <v>8</v>
      </c>
      <c r="H54" s="6">
        <v>821</v>
      </c>
      <c r="I54" s="7">
        <v>492.6</v>
      </c>
      <c r="J54" s="6">
        <f>Sales_Data[[#This Row],[Quantity]]*Sales_Data[[#This Row],[Retail Price]]</f>
        <v>6568</v>
      </c>
      <c r="K54" s="6">
        <f>(Sales_Data[[#This Row],[Retail Price]]-Sales_Data[[#This Row],[Cost Price]])*Sales_Data[[#This Row],[Quantity]]</f>
        <v>2627.2</v>
      </c>
    </row>
    <row r="55" spans="1:11" x14ac:dyDescent="0.25">
      <c r="A55" s="5">
        <v>44574</v>
      </c>
      <c r="B55" s="6">
        <v>2022</v>
      </c>
      <c r="C55" s="6">
        <v>1</v>
      </c>
      <c r="D55" s="6" t="s">
        <v>11</v>
      </c>
      <c r="E55" s="6" t="s">
        <v>13</v>
      </c>
      <c r="F55" s="6" t="s">
        <v>18</v>
      </c>
      <c r="G55" s="6">
        <v>8</v>
      </c>
      <c r="H55" s="6">
        <v>1792</v>
      </c>
      <c r="I55" s="7">
        <v>1433.6</v>
      </c>
      <c r="J55" s="6">
        <f>Sales_Data[[#This Row],[Quantity]]*Sales_Data[[#This Row],[Retail Price]]</f>
        <v>14336</v>
      </c>
      <c r="K55" s="6">
        <f>(Sales_Data[[#This Row],[Retail Price]]-Sales_Data[[#This Row],[Cost Price]])*Sales_Data[[#This Row],[Quantity]]</f>
        <v>2867.2000000000007</v>
      </c>
    </row>
    <row r="56" spans="1:11" x14ac:dyDescent="0.25">
      <c r="A56" s="5">
        <v>44598</v>
      </c>
      <c r="B56" s="6">
        <v>2022</v>
      </c>
      <c r="C56" s="6">
        <v>2</v>
      </c>
      <c r="D56" s="6" t="s">
        <v>10</v>
      </c>
      <c r="E56" s="6" t="s">
        <v>13</v>
      </c>
      <c r="F56" s="6" t="s">
        <v>20</v>
      </c>
      <c r="G56" s="6">
        <v>1</v>
      </c>
      <c r="H56" s="6">
        <v>375</v>
      </c>
      <c r="I56" s="7">
        <v>228.75</v>
      </c>
      <c r="J56" s="6">
        <f>Sales_Data[[#This Row],[Quantity]]*Sales_Data[[#This Row],[Retail Price]]</f>
        <v>375</v>
      </c>
      <c r="K56" s="6">
        <f>(Sales_Data[[#This Row],[Retail Price]]-Sales_Data[[#This Row],[Cost Price]])*Sales_Data[[#This Row],[Quantity]]</f>
        <v>146.25</v>
      </c>
    </row>
    <row r="57" spans="1:11" x14ac:dyDescent="0.25">
      <c r="A57" s="5">
        <v>44952</v>
      </c>
      <c r="B57" s="6">
        <v>2023</v>
      </c>
      <c r="C57" s="6">
        <v>1</v>
      </c>
      <c r="D57" s="6" t="s">
        <v>11</v>
      </c>
      <c r="E57" s="6" t="s">
        <v>13</v>
      </c>
      <c r="F57" s="6" t="s">
        <v>20</v>
      </c>
      <c r="G57" s="6">
        <v>1</v>
      </c>
      <c r="H57" s="6">
        <v>1198</v>
      </c>
      <c r="I57" s="7">
        <v>958.4</v>
      </c>
      <c r="J57" s="6">
        <f>Sales_Data[[#This Row],[Quantity]]*Sales_Data[[#This Row],[Retail Price]]</f>
        <v>1198</v>
      </c>
      <c r="K57" s="6">
        <f>(Sales_Data[[#This Row],[Retail Price]]-Sales_Data[[#This Row],[Cost Price]])*Sales_Data[[#This Row],[Quantity]]</f>
        <v>239.60000000000002</v>
      </c>
    </row>
    <row r="58" spans="1:11" x14ac:dyDescent="0.25">
      <c r="A58" s="5">
        <v>44625</v>
      </c>
      <c r="B58" s="6">
        <v>2022</v>
      </c>
      <c r="C58" s="6">
        <v>3</v>
      </c>
      <c r="D58" s="6" t="s">
        <v>10</v>
      </c>
      <c r="E58" s="6" t="s">
        <v>14</v>
      </c>
      <c r="F58" s="6" t="s">
        <v>17</v>
      </c>
      <c r="G58" s="6">
        <v>3</v>
      </c>
      <c r="H58" s="6">
        <v>206</v>
      </c>
      <c r="I58" s="7">
        <v>129.78</v>
      </c>
      <c r="J58" s="6">
        <f>Sales_Data[[#This Row],[Quantity]]*Sales_Data[[#This Row],[Retail Price]]</f>
        <v>618</v>
      </c>
      <c r="K58" s="6">
        <f>(Sales_Data[[#This Row],[Retail Price]]-Sales_Data[[#This Row],[Cost Price]])*Sales_Data[[#This Row],[Quantity]]</f>
        <v>228.66</v>
      </c>
    </row>
    <row r="59" spans="1:11" x14ac:dyDescent="0.25">
      <c r="A59" s="5">
        <v>44611</v>
      </c>
      <c r="B59" s="6">
        <v>2022</v>
      </c>
      <c r="C59" s="6">
        <v>2</v>
      </c>
      <c r="D59" s="6" t="s">
        <v>10</v>
      </c>
      <c r="E59" s="6" t="s">
        <v>14</v>
      </c>
      <c r="F59" s="6" t="s">
        <v>19</v>
      </c>
      <c r="G59" s="6">
        <v>5</v>
      </c>
      <c r="H59" s="6">
        <v>1444</v>
      </c>
      <c r="I59" s="7">
        <v>1126.32</v>
      </c>
      <c r="J59" s="6">
        <f>Sales_Data[[#This Row],[Quantity]]*Sales_Data[[#This Row],[Retail Price]]</f>
        <v>7220</v>
      </c>
      <c r="K59" s="6">
        <f>(Sales_Data[[#This Row],[Retail Price]]-Sales_Data[[#This Row],[Cost Price]])*Sales_Data[[#This Row],[Quantity]]</f>
        <v>1588.4000000000003</v>
      </c>
    </row>
    <row r="60" spans="1:11" x14ac:dyDescent="0.25">
      <c r="A60" s="5">
        <v>44984</v>
      </c>
      <c r="B60" s="6">
        <v>2023</v>
      </c>
      <c r="C60" s="6">
        <v>2</v>
      </c>
      <c r="D60" s="6" t="s">
        <v>10</v>
      </c>
      <c r="E60" s="6" t="s">
        <v>13</v>
      </c>
      <c r="F60" s="6" t="s">
        <v>17</v>
      </c>
      <c r="G60" s="6">
        <v>8</v>
      </c>
      <c r="H60" s="6">
        <v>706</v>
      </c>
      <c r="I60" s="7">
        <v>543.62</v>
      </c>
      <c r="J60" s="6">
        <f>Sales_Data[[#This Row],[Quantity]]*Sales_Data[[#This Row],[Retail Price]]</f>
        <v>5648</v>
      </c>
      <c r="K60" s="6">
        <f>(Sales_Data[[#This Row],[Retail Price]]-Sales_Data[[#This Row],[Cost Price]])*Sales_Data[[#This Row],[Quantity]]</f>
        <v>1299.04</v>
      </c>
    </row>
    <row r="61" spans="1:11" x14ac:dyDescent="0.25">
      <c r="A61" s="5">
        <v>44939</v>
      </c>
      <c r="B61" s="6">
        <v>2023</v>
      </c>
      <c r="C61" s="6">
        <v>1</v>
      </c>
      <c r="D61" s="6" t="s">
        <v>11</v>
      </c>
      <c r="E61" s="6" t="s">
        <v>13</v>
      </c>
      <c r="F61" s="6" t="s">
        <v>18</v>
      </c>
      <c r="G61" s="6">
        <v>5</v>
      </c>
      <c r="H61" s="6">
        <v>1907</v>
      </c>
      <c r="I61" s="7">
        <v>1525.6</v>
      </c>
      <c r="J61" s="6">
        <f>Sales_Data[[#This Row],[Quantity]]*Sales_Data[[#This Row],[Retail Price]]</f>
        <v>9535</v>
      </c>
      <c r="K61" s="6">
        <f>(Sales_Data[[#This Row],[Retail Price]]-Sales_Data[[#This Row],[Cost Price]])*Sales_Data[[#This Row],[Quantity]]</f>
        <v>1907.0000000000005</v>
      </c>
    </row>
    <row r="62" spans="1:11" x14ac:dyDescent="0.25">
      <c r="A62" s="5">
        <v>44959</v>
      </c>
      <c r="B62" s="6">
        <v>2023</v>
      </c>
      <c r="C62" s="6">
        <v>2</v>
      </c>
      <c r="D62" s="6" t="s">
        <v>11</v>
      </c>
      <c r="E62" s="6" t="s">
        <v>13</v>
      </c>
      <c r="F62" s="6" t="s">
        <v>16</v>
      </c>
      <c r="G62" s="6">
        <v>19</v>
      </c>
      <c r="H62" s="6">
        <v>1406</v>
      </c>
      <c r="I62" s="7">
        <v>843.6</v>
      </c>
      <c r="J62" s="6">
        <f>Sales_Data[[#This Row],[Quantity]]*Sales_Data[[#This Row],[Retail Price]]</f>
        <v>26714</v>
      </c>
      <c r="K62" s="6">
        <f>(Sales_Data[[#This Row],[Retail Price]]-Sales_Data[[#This Row],[Cost Price]])*Sales_Data[[#This Row],[Quantity]]</f>
        <v>10685.6</v>
      </c>
    </row>
    <row r="63" spans="1:11" x14ac:dyDescent="0.25">
      <c r="A63" s="5">
        <v>45002</v>
      </c>
      <c r="B63" s="6">
        <v>2023</v>
      </c>
      <c r="C63" s="6">
        <v>3</v>
      </c>
      <c r="D63" s="6" t="s">
        <v>12</v>
      </c>
      <c r="E63" s="6" t="s">
        <v>13</v>
      </c>
      <c r="F63" s="6" t="s">
        <v>18</v>
      </c>
      <c r="G63" s="6">
        <v>4</v>
      </c>
      <c r="H63" s="6">
        <v>608</v>
      </c>
      <c r="I63" s="7">
        <v>437.76</v>
      </c>
      <c r="J63" s="6">
        <f>Sales_Data[[#This Row],[Quantity]]*Sales_Data[[#This Row],[Retail Price]]</f>
        <v>2432</v>
      </c>
      <c r="K63" s="6">
        <f>(Sales_Data[[#This Row],[Retail Price]]-Sales_Data[[#This Row],[Cost Price]])*Sales_Data[[#This Row],[Quantity]]</f>
        <v>680.96</v>
      </c>
    </row>
    <row r="64" spans="1:11" x14ac:dyDescent="0.25">
      <c r="A64" s="5">
        <v>44619</v>
      </c>
      <c r="B64" s="6">
        <v>2022</v>
      </c>
      <c r="C64" s="6">
        <v>2</v>
      </c>
      <c r="D64" s="6" t="s">
        <v>9</v>
      </c>
      <c r="E64" s="6" t="s">
        <v>15</v>
      </c>
      <c r="F64" s="6" t="s">
        <v>18</v>
      </c>
      <c r="G64" s="6">
        <v>3</v>
      </c>
      <c r="H64" s="6">
        <v>211</v>
      </c>
      <c r="I64" s="7">
        <v>139.26</v>
      </c>
      <c r="J64" s="6">
        <f>Sales_Data[[#This Row],[Quantity]]*Sales_Data[[#This Row],[Retail Price]]</f>
        <v>633</v>
      </c>
      <c r="K64" s="6">
        <f>(Sales_Data[[#This Row],[Retail Price]]-Sales_Data[[#This Row],[Cost Price]])*Sales_Data[[#This Row],[Quantity]]</f>
        <v>215.22000000000003</v>
      </c>
    </row>
    <row r="65" spans="1:11" x14ac:dyDescent="0.25">
      <c r="A65" s="5">
        <v>45013</v>
      </c>
      <c r="B65" s="6">
        <v>2023</v>
      </c>
      <c r="C65" s="6">
        <v>3</v>
      </c>
      <c r="D65" s="6" t="s">
        <v>9</v>
      </c>
      <c r="E65" s="6" t="s">
        <v>14</v>
      </c>
      <c r="F65" s="6" t="s">
        <v>16</v>
      </c>
      <c r="G65" s="6">
        <v>14</v>
      </c>
      <c r="H65" s="6">
        <v>1994</v>
      </c>
      <c r="I65" s="7">
        <v>1415.74</v>
      </c>
      <c r="J65" s="6">
        <f>Sales_Data[[#This Row],[Quantity]]*Sales_Data[[#This Row],[Retail Price]]</f>
        <v>27916</v>
      </c>
      <c r="K65" s="6">
        <f>(Sales_Data[[#This Row],[Retail Price]]-Sales_Data[[#This Row],[Cost Price]])*Sales_Data[[#This Row],[Quantity]]</f>
        <v>8095.6399999999994</v>
      </c>
    </row>
    <row r="66" spans="1:11" x14ac:dyDescent="0.25">
      <c r="A66" s="5">
        <v>44572</v>
      </c>
      <c r="B66" s="6">
        <v>2022</v>
      </c>
      <c r="C66" s="6">
        <v>1</v>
      </c>
      <c r="D66" s="6" t="s">
        <v>12</v>
      </c>
      <c r="E66" s="6" t="s">
        <v>15</v>
      </c>
      <c r="F66" s="6" t="s">
        <v>19</v>
      </c>
      <c r="G66" s="6">
        <v>17</v>
      </c>
      <c r="H66" s="6">
        <v>787</v>
      </c>
      <c r="I66" s="7">
        <v>582.38</v>
      </c>
      <c r="J66" s="6">
        <f>Sales_Data[[#This Row],[Quantity]]*Sales_Data[[#This Row],[Retail Price]]</f>
        <v>13379</v>
      </c>
      <c r="K66" s="6">
        <f>(Sales_Data[[#This Row],[Retail Price]]-Sales_Data[[#This Row],[Cost Price]])*Sales_Data[[#This Row],[Quantity]]</f>
        <v>3478.54</v>
      </c>
    </row>
    <row r="67" spans="1:11" x14ac:dyDescent="0.25">
      <c r="A67" s="5">
        <v>44971</v>
      </c>
      <c r="B67" s="6">
        <v>2023</v>
      </c>
      <c r="C67" s="6">
        <v>2</v>
      </c>
      <c r="D67" s="6" t="s">
        <v>10</v>
      </c>
      <c r="E67" s="6" t="s">
        <v>15</v>
      </c>
      <c r="F67" s="6" t="s">
        <v>18</v>
      </c>
      <c r="G67" s="6">
        <v>6</v>
      </c>
      <c r="H67" s="6">
        <v>1823</v>
      </c>
      <c r="I67" s="7">
        <v>1257.8699999999999</v>
      </c>
      <c r="J67" s="6">
        <f>Sales_Data[[#This Row],[Quantity]]*Sales_Data[[#This Row],[Retail Price]]</f>
        <v>10938</v>
      </c>
      <c r="K67" s="6">
        <f>(Sales_Data[[#This Row],[Retail Price]]-Sales_Data[[#This Row],[Cost Price]])*Sales_Data[[#This Row],[Quantity]]</f>
        <v>3390.7800000000007</v>
      </c>
    </row>
    <row r="68" spans="1:11" x14ac:dyDescent="0.25">
      <c r="A68" s="5">
        <v>44986</v>
      </c>
      <c r="B68" s="6">
        <v>2023</v>
      </c>
      <c r="C68" s="6">
        <v>3</v>
      </c>
      <c r="D68" s="6" t="s">
        <v>10</v>
      </c>
      <c r="E68" s="6" t="s">
        <v>14</v>
      </c>
      <c r="F68" s="6" t="s">
        <v>20</v>
      </c>
      <c r="G68" s="6">
        <v>3</v>
      </c>
      <c r="H68" s="6">
        <v>1751</v>
      </c>
      <c r="I68" s="7">
        <v>1225.7</v>
      </c>
      <c r="J68" s="6">
        <f>Sales_Data[[#This Row],[Quantity]]*Sales_Data[[#This Row],[Retail Price]]</f>
        <v>5253</v>
      </c>
      <c r="K68" s="6">
        <f>(Sales_Data[[#This Row],[Retail Price]]-Sales_Data[[#This Row],[Cost Price]])*Sales_Data[[#This Row],[Quantity]]</f>
        <v>1575.8999999999999</v>
      </c>
    </row>
    <row r="69" spans="1:11" x14ac:dyDescent="0.25">
      <c r="A69" s="5">
        <v>44990</v>
      </c>
      <c r="B69" s="6">
        <v>2023</v>
      </c>
      <c r="C69" s="6">
        <v>3</v>
      </c>
      <c r="D69" s="6" t="s">
        <v>12</v>
      </c>
      <c r="E69" s="6" t="s">
        <v>13</v>
      </c>
      <c r="F69" s="6" t="s">
        <v>17</v>
      </c>
      <c r="G69" s="6">
        <v>19</v>
      </c>
      <c r="H69" s="6">
        <v>1605</v>
      </c>
      <c r="I69" s="7">
        <v>1123.5</v>
      </c>
      <c r="J69" s="6">
        <f>Sales_Data[[#This Row],[Quantity]]*Sales_Data[[#This Row],[Retail Price]]</f>
        <v>30495</v>
      </c>
      <c r="K69" s="6">
        <f>(Sales_Data[[#This Row],[Retail Price]]-Sales_Data[[#This Row],[Cost Price]])*Sales_Data[[#This Row],[Quantity]]</f>
        <v>9148.5</v>
      </c>
    </row>
    <row r="70" spans="1:11" x14ac:dyDescent="0.25">
      <c r="A70" s="5">
        <v>44983</v>
      </c>
      <c r="B70" s="6">
        <v>2023</v>
      </c>
      <c r="C70" s="6">
        <v>2</v>
      </c>
      <c r="D70" s="6" t="s">
        <v>11</v>
      </c>
      <c r="E70" s="6" t="s">
        <v>14</v>
      </c>
      <c r="F70" s="6" t="s">
        <v>17</v>
      </c>
      <c r="G70" s="6">
        <v>20</v>
      </c>
      <c r="H70" s="6">
        <v>750</v>
      </c>
      <c r="I70" s="7">
        <v>480</v>
      </c>
      <c r="J70" s="6">
        <f>Sales_Data[[#This Row],[Quantity]]*Sales_Data[[#This Row],[Retail Price]]</f>
        <v>15000</v>
      </c>
      <c r="K70" s="6">
        <f>(Sales_Data[[#This Row],[Retail Price]]-Sales_Data[[#This Row],[Cost Price]])*Sales_Data[[#This Row],[Quantity]]</f>
        <v>5400</v>
      </c>
    </row>
    <row r="71" spans="1:11" x14ac:dyDescent="0.25">
      <c r="A71" s="5">
        <v>44564</v>
      </c>
      <c r="B71" s="6">
        <v>2022</v>
      </c>
      <c r="C71" s="6">
        <v>1</v>
      </c>
      <c r="D71" s="6" t="s">
        <v>9</v>
      </c>
      <c r="E71" s="6" t="s">
        <v>14</v>
      </c>
      <c r="F71" s="6" t="s">
        <v>17</v>
      </c>
      <c r="G71" s="6">
        <v>13</v>
      </c>
      <c r="H71" s="6">
        <v>545</v>
      </c>
      <c r="I71" s="7">
        <v>414.2</v>
      </c>
      <c r="J71" s="6">
        <f>Sales_Data[[#This Row],[Quantity]]*Sales_Data[[#This Row],[Retail Price]]</f>
        <v>7085</v>
      </c>
      <c r="K71" s="6">
        <f>(Sales_Data[[#This Row],[Retail Price]]-Sales_Data[[#This Row],[Cost Price]])*Sales_Data[[#This Row],[Quantity]]</f>
        <v>1700.4</v>
      </c>
    </row>
    <row r="72" spans="1:11" x14ac:dyDescent="0.25">
      <c r="A72" s="5">
        <v>44599</v>
      </c>
      <c r="B72" s="6">
        <v>2022</v>
      </c>
      <c r="C72" s="6">
        <v>2</v>
      </c>
      <c r="D72" s="6" t="s">
        <v>12</v>
      </c>
      <c r="E72" s="6" t="s">
        <v>14</v>
      </c>
      <c r="F72" s="6" t="s">
        <v>16</v>
      </c>
      <c r="G72" s="6">
        <v>19</v>
      </c>
      <c r="H72" s="6">
        <v>715</v>
      </c>
      <c r="I72" s="7">
        <v>529.1</v>
      </c>
      <c r="J72" s="6">
        <f>Sales_Data[[#This Row],[Quantity]]*Sales_Data[[#This Row],[Retail Price]]</f>
        <v>13585</v>
      </c>
      <c r="K72" s="6">
        <f>(Sales_Data[[#This Row],[Retail Price]]-Sales_Data[[#This Row],[Cost Price]])*Sales_Data[[#This Row],[Quantity]]</f>
        <v>3532.0999999999995</v>
      </c>
    </row>
    <row r="73" spans="1:11" x14ac:dyDescent="0.25">
      <c r="A73" s="5">
        <v>45003</v>
      </c>
      <c r="B73" s="6">
        <v>2023</v>
      </c>
      <c r="C73" s="6">
        <v>3</v>
      </c>
      <c r="D73" s="6" t="s">
        <v>10</v>
      </c>
      <c r="E73" s="6" t="s">
        <v>15</v>
      </c>
      <c r="F73" s="6" t="s">
        <v>18</v>
      </c>
      <c r="G73" s="6">
        <v>5</v>
      </c>
      <c r="H73" s="6">
        <v>1247</v>
      </c>
      <c r="I73" s="7">
        <v>897.84</v>
      </c>
      <c r="J73" s="6">
        <f>Sales_Data[[#This Row],[Quantity]]*Sales_Data[[#This Row],[Retail Price]]</f>
        <v>6235</v>
      </c>
      <c r="K73" s="6">
        <f>(Sales_Data[[#This Row],[Retail Price]]-Sales_Data[[#This Row],[Cost Price]])*Sales_Data[[#This Row],[Quantity]]</f>
        <v>1745.7999999999997</v>
      </c>
    </row>
    <row r="74" spans="1:11" x14ac:dyDescent="0.25">
      <c r="A74" s="5">
        <v>44608</v>
      </c>
      <c r="B74" s="6">
        <v>2022</v>
      </c>
      <c r="C74" s="6">
        <v>2</v>
      </c>
      <c r="D74" s="6" t="s">
        <v>9</v>
      </c>
      <c r="E74" s="6" t="s">
        <v>14</v>
      </c>
      <c r="F74" s="6" t="s">
        <v>17</v>
      </c>
      <c r="G74" s="6">
        <v>19</v>
      </c>
      <c r="H74" s="6">
        <v>606</v>
      </c>
      <c r="I74" s="7">
        <v>448.44</v>
      </c>
      <c r="J74" s="6">
        <f>Sales_Data[[#This Row],[Quantity]]*Sales_Data[[#This Row],[Retail Price]]</f>
        <v>11514</v>
      </c>
      <c r="K74" s="6">
        <f>(Sales_Data[[#This Row],[Retail Price]]-Sales_Data[[#This Row],[Cost Price]])*Sales_Data[[#This Row],[Quantity]]</f>
        <v>2993.64</v>
      </c>
    </row>
    <row r="75" spans="1:11" x14ac:dyDescent="0.25">
      <c r="A75" s="5">
        <v>44936</v>
      </c>
      <c r="B75" s="6">
        <v>2023</v>
      </c>
      <c r="C75" s="6">
        <v>1</v>
      </c>
      <c r="D75" s="6" t="s">
        <v>12</v>
      </c>
      <c r="E75" s="6" t="s">
        <v>15</v>
      </c>
      <c r="F75" s="6" t="s">
        <v>20</v>
      </c>
      <c r="G75" s="6">
        <v>14</v>
      </c>
      <c r="H75" s="6">
        <v>794</v>
      </c>
      <c r="I75" s="7">
        <v>500.22</v>
      </c>
      <c r="J75" s="6">
        <f>Sales_Data[[#This Row],[Quantity]]*Sales_Data[[#This Row],[Retail Price]]</f>
        <v>11116</v>
      </c>
      <c r="K75" s="6">
        <f>(Sales_Data[[#This Row],[Retail Price]]-Sales_Data[[#This Row],[Cost Price]])*Sales_Data[[#This Row],[Quantity]]</f>
        <v>4112.92</v>
      </c>
    </row>
    <row r="76" spans="1:11" x14ac:dyDescent="0.25">
      <c r="A76" s="5">
        <v>44929</v>
      </c>
      <c r="B76" s="6">
        <v>2023</v>
      </c>
      <c r="C76" s="6">
        <v>1</v>
      </c>
      <c r="D76" s="6" t="s">
        <v>9</v>
      </c>
      <c r="E76" s="6" t="s">
        <v>13</v>
      </c>
      <c r="F76" s="6" t="s">
        <v>18</v>
      </c>
      <c r="G76" s="6">
        <v>3</v>
      </c>
      <c r="H76" s="6">
        <v>388</v>
      </c>
      <c r="I76" s="7">
        <v>283.24</v>
      </c>
      <c r="J76" s="6">
        <f>Sales_Data[[#This Row],[Quantity]]*Sales_Data[[#This Row],[Retail Price]]</f>
        <v>1164</v>
      </c>
      <c r="K76" s="6">
        <f>(Sales_Data[[#This Row],[Retail Price]]-Sales_Data[[#This Row],[Cost Price]])*Sales_Data[[#This Row],[Quantity]]</f>
        <v>314.27999999999997</v>
      </c>
    </row>
    <row r="77" spans="1:11" x14ac:dyDescent="0.25">
      <c r="A77" s="5">
        <v>45007</v>
      </c>
      <c r="B77" s="6">
        <v>2023</v>
      </c>
      <c r="C77" s="6">
        <v>3</v>
      </c>
      <c r="D77" s="6" t="s">
        <v>10</v>
      </c>
      <c r="E77" s="6" t="s">
        <v>15</v>
      </c>
      <c r="F77" s="6" t="s">
        <v>19</v>
      </c>
      <c r="G77" s="6">
        <v>7</v>
      </c>
      <c r="H77" s="6">
        <v>516</v>
      </c>
      <c r="I77" s="7">
        <v>325.08</v>
      </c>
      <c r="J77" s="6">
        <f>Sales_Data[[#This Row],[Quantity]]*Sales_Data[[#This Row],[Retail Price]]</f>
        <v>3612</v>
      </c>
      <c r="K77" s="6">
        <f>(Sales_Data[[#This Row],[Retail Price]]-Sales_Data[[#This Row],[Cost Price]])*Sales_Data[[#This Row],[Quantity]]</f>
        <v>1336.44</v>
      </c>
    </row>
    <row r="78" spans="1:11" x14ac:dyDescent="0.25">
      <c r="A78" s="5">
        <v>44639</v>
      </c>
      <c r="B78" s="6">
        <v>2022</v>
      </c>
      <c r="C78" s="6">
        <v>3</v>
      </c>
      <c r="D78" s="6" t="s">
        <v>11</v>
      </c>
      <c r="E78" s="6" t="s">
        <v>15</v>
      </c>
      <c r="F78" s="6" t="s">
        <v>19</v>
      </c>
      <c r="G78" s="6">
        <v>17</v>
      </c>
      <c r="H78" s="6">
        <v>176</v>
      </c>
      <c r="I78" s="7">
        <v>123.2</v>
      </c>
      <c r="J78" s="6">
        <f>Sales_Data[[#This Row],[Quantity]]*Sales_Data[[#This Row],[Retail Price]]</f>
        <v>2992</v>
      </c>
      <c r="K78" s="6">
        <f>(Sales_Data[[#This Row],[Retail Price]]-Sales_Data[[#This Row],[Cost Price]])*Sales_Data[[#This Row],[Quantity]]</f>
        <v>897.59999999999991</v>
      </c>
    </row>
    <row r="79" spans="1:11" x14ac:dyDescent="0.25">
      <c r="A79" s="5">
        <v>44611</v>
      </c>
      <c r="B79" s="6">
        <v>2022</v>
      </c>
      <c r="C79" s="6">
        <v>2</v>
      </c>
      <c r="D79" s="6" t="s">
        <v>10</v>
      </c>
      <c r="E79" s="6" t="s">
        <v>14</v>
      </c>
      <c r="F79" s="6" t="s">
        <v>16</v>
      </c>
      <c r="G79" s="6">
        <v>14</v>
      </c>
      <c r="H79" s="6">
        <v>1886</v>
      </c>
      <c r="I79" s="7">
        <v>1131.5999999999999</v>
      </c>
      <c r="J79" s="6">
        <f>Sales_Data[[#This Row],[Quantity]]*Sales_Data[[#This Row],[Retail Price]]</f>
        <v>26404</v>
      </c>
      <c r="K79" s="6">
        <f>(Sales_Data[[#This Row],[Retail Price]]-Sales_Data[[#This Row],[Cost Price]])*Sales_Data[[#This Row],[Quantity]]</f>
        <v>10561.600000000002</v>
      </c>
    </row>
    <row r="80" spans="1:11" x14ac:dyDescent="0.25">
      <c r="A80" s="5">
        <v>44614</v>
      </c>
      <c r="B80" s="6">
        <v>2022</v>
      </c>
      <c r="C80" s="6">
        <v>2</v>
      </c>
      <c r="D80" s="6" t="s">
        <v>11</v>
      </c>
      <c r="E80" s="6" t="s">
        <v>14</v>
      </c>
      <c r="F80" s="6" t="s">
        <v>18</v>
      </c>
      <c r="G80" s="6">
        <v>20</v>
      </c>
      <c r="H80" s="6">
        <v>1858</v>
      </c>
      <c r="I80" s="7">
        <v>1356.34</v>
      </c>
      <c r="J80" s="6">
        <f>Sales_Data[[#This Row],[Quantity]]*Sales_Data[[#This Row],[Retail Price]]</f>
        <v>37160</v>
      </c>
      <c r="K80" s="6">
        <f>(Sales_Data[[#This Row],[Retail Price]]-Sales_Data[[#This Row],[Cost Price]])*Sales_Data[[#This Row],[Quantity]]</f>
        <v>10033.200000000001</v>
      </c>
    </row>
    <row r="81" spans="1:11" x14ac:dyDescent="0.25">
      <c r="A81" s="5">
        <v>44569</v>
      </c>
      <c r="B81" s="6">
        <v>2022</v>
      </c>
      <c r="C81" s="6">
        <v>1</v>
      </c>
      <c r="D81" s="6" t="s">
        <v>10</v>
      </c>
      <c r="E81" s="6" t="s">
        <v>14</v>
      </c>
      <c r="F81" s="6" t="s">
        <v>17</v>
      </c>
      <c r="G81" s="6">
        <v>19</v>
      </c>
      <c r="H81" s="6">
        <v>802</v>
      </c>
      <c r="I81" s="7">
        <v>617.54</v>
      </c>
      <c r="J81" s="6">
        <f>Sales_Data[[#This Row],[Quantity]]*Sales_Data[[#This Row],[Retail Price]]</f>
        <v>15238</v>
      </c>
      <c r="K81" s="6">
        <f>(Sales_Data[[#This Row],[Retail Price]]-Sales_Data[[#This Row],[Cost Price]])*Sales_Data[[#This Row],[Quantity]]</f>
        <v>3504.7400000000007</v>
      </c>
    </row>
    <row r="82" spans="1:11" x14ac:dyDescent="0.25">
      <c r="A82" s="5">
        <v>44938</v>
      </c>
      <c r="B82" s="6">
        <v>2023</v>
      </c>
      <c r="C82" s="6">
        <v>1</v>
      </c>
      <c r="D82" s="6" t="s">
        <v>10</v>
      </c>
      <c r="E82" s="6" t="s">
        <v>15</v>
      </c>
      <c r="F82" s="6" t="s">
        <v>17</v>
      </c>
      <c r="G82" s="6">
        <v>11</v>
      </c>
      <c r="H82" s="6">
        <v>1030</v>
      </c>
      <c r="I82" s="7">
        <v>690.1</v>
      </c>
      <c r="J82" s="6">
        <f>Sales_Data[[#This Row],[Quantity]]*Sales_Data[[#This Row],[Retail Price]]</f>
        <v>11330</v>
      </c>
      <c r="K82" s="6">
        <f>(Sales_Data[[#This Row],[Retail Price]]-Sales_Data[[#This Row],[Cost Price]])*Sales_Data[[#This Row],[Quantity]]</f>
        <v>3738.8999999999996</v>
      </c>
    </row>
    <row r="83" spans="1:11" x14ac:dyDescent="0.25">
      <c r="A83" s="5">
        <v>44641</v>
      </c>
      <c r="B83" s="6">
        <v>2022</v>
      </c>
      <c r="C83" s="6">
        <v>3</v>
      </c>
      <c r="D83" s="6" t="s">
        <v>11</v>
      </c>
      <c r="E83" s="6" t="s">
        <v>15</v>
      </c>
      <c r="F83" s="6" t="s">
        <v>19</v>
      </c>
      <c r="G83" s="6">
        <v>13</v>
      </c>
      <c r="H83" s="6">
        <v>1088</v>
      </c>
      <c r="I83" s="7">
        <v>674.56</v>
      </c>
      <c r="J83" s="6">
        <f>Sales_Data[[#This Row],[Quantity]]*Sales_Data[[#This Row],[Retail Price]]</f>
        <v>14144</v>
      </c>
      <c r="K83" s="6">
        <f>(Sales_Data[[#This Row],[Retail Price]]-Sales_Data[[#This Row],[Cost Price]])*Sales_Data[[#This Row],[Quantity]]</f>
        <v>5374.7200000000012</v>
      </c>
    </row>
    <row r="84" spans="1:11" x14ac:dyDescent="0.25">
      <c r="A84" s="5">
        <v>44589</v>
      </c>
      <c r="B84" s="6">
        <v>2022</v>
      </c>
      <c r="C84" s="6">
        <v>1</v>
      </c>
      <c r="D84" s="6" t="s">
        <v>11</v>
      </c>
      <c r="E84" s="6" t="s">
        <v>14</v>
      </c>
      <c r="F84" s="6" t="s">
        <v>20</v>
      </c>
      <c r="G84" s="6">
        <v>3</v>
      </c>
      <c r="H84" s="6">
        <v>1614</v>
      </c>
      <c r="I84" s="7">
        <v>1162.08</v>
      </c>
      <c r="J84" s="6">
        <f>Sales_Data[[#This Row],[Quantity]]*Sales_Data[[#This Row],[Retail Price]]</f>
        <v>4842</v>
      </c>
      <c r="K84" s="6">
        <f>(Sales_Data[[#This Row],[Retail Price]]-Sales_Data[[#This Row],[Cost Price]])*Sales_Data[[#This Row],[Quantity]]</f>
        <v>1355.7600000000002</v>
      </c>
    </row>
    <row r="85" spans="1:11" x14ac:dyDescent="0.25">
      <c r="A85" s="5">
        <v>44608</v>
      </c>
      <c r="B85" s="6">
        <v>2022</v>
      </c>
      <c r="C85" s="6">
        <v>2</v>
      </c>
      <c r="D85" s="6" t="s">
        <v>12</v>
      </c>
      <c r="E85" s="6" t="s">
        <v>15</v>
      </c>
      <c r="F85" s="6" t="s">
        <v>20</v>
      </c>
      <c r="G85" s="6">
        <v>9</v>
      </c>
      <c r="H85" s="6">
        <v>1725</v>
      </c>
      <c r="I85" s="7">
        <v>1173</v>
      </c>
      <c r="J85" s="6">
        <f>Sales_Data[[#This Row],[Quantity]]*Sales_Data[[#This Row],[Retail Price]]</f>
        <v>15525</v>
      </c>
      <c r="K85" s="6">
        <f>(Sales_Data[[#This Row],[Retail Price]]-Sales_Data[[#This Row],[Cost Price]])*Sales_Data[[#This Row],[Quantity]]</f>
        <v>4968</v>
      </c>
    </row>
    <row r="86" spans="1:11" x14ac:dyDescent="0.25">
      <c r="A86" s="5">
        <v>44939</v>
      </c>
      <c r="B86" s="6">
        <v>2023</v>
      </c>
      <c r="C86" s="6">
        <v>1</v>
      </c>
      <c r="D86" s="6" t="s">
        <v>10</v>
      </c>
      <c r="E86" s="6" t="s">
        <v>15</v>
      </c>
      <c r="F86" s="6" t="s">
        <v>17</v>
      </c>
      <c r="G86" s="6">
        <v>11</v>
      </c>
      <c r="H86" s="6">
        <v>669</v>
      </c>
      <c r="I86" s="7">
        <v>468.3</v>
      </c>
      <c r="J86" s="6">
        <f>Sales_Data[[#This Row],[Quantity]]*Sales_Data[[#This Row],[Retail Price]]</f>
        <v>7359</v>
      </c>
      <c r="K86" s="6">
        <f>(Sales_Data[[#This Row],[Retail Price]]-Sales_Data[[#This Row],[Cost Price]])*Sales_Data[[#This Row],[Quantity]]</f>
        <v>2207.6999999999998</v>
      </c>
    </row>
    <row r="87" spans="1:11" x14ac:dyDescent="0.25">
      <c r="A87" s="5">
        <v>44580</v>
      </c>
      <c r="B87" s="6">
        <v>2022</v>
      </c>
      <c r="C87" s="6">
        <v>1</v>
      </c>
      <c r="D87" s="6" t="s">
        <v>11</v>
      </c>
      <c r="E87" s="6" t="s">
        <v>15</v>
      </c>
      <c r="F87" s="6" t="s">
        <v>16</v>
      </c>
      <c r="G87" s="6">
        <v>15</v>
      </c>
      <c r="H87" s="6">
        <v>373</v>
      </c>
      <c r="I87" s="7">
        <v>242.45</v>
      </c>
      <c r="J87" s="6">
        <f>Sales_Data[[#This Row],[Quantity]]*Sales_Data[[#This Row],[Retail Price]]</f>
        <v>5595</v>
      </c>
      <c r="K87" s="6">
        <f>(Sales_Data[[#This Row],[Retail Price]]-Sales_Data[[#This Row],[Cost Price]])*Sales_Data[[#This Row],[Quantity]]</f>
        <v>1958.2500000000002</v>
      </c>
    </row>
    <row r="88" spans="1:11" x14ac:dyDescent="0.25">
      <c r="A88" s="5">
        <v>44981</v>
      </c>
      <c r="B88" s="6">
        <v>2023</v>
      </c>
      <c r="C88" s="6">
        <v>2</v>
      </c>
      <c r="D88" s="6" t="s">
        <v>11</v>
      </c>
      <c r="E88" s="6" t="s">
        <v>15</v>
      </c>
      <c r="F88" s="6" t="s">
        <v>17</v>
      </c>
      <c r="G88" s="6">
        <v>5</v>
      </c>
      <c r="H88" s="6">
        <v>1453</v>
      </c>
      <c r="I88" s="7">
        <v>1017.1</v>
      </c>
      <c r="J88" s="6">
        <f>Sales_Data[[#This Row],[Quantity]]*Sales_Data[[#This Row],[Retail Price]]</f>
        <v>7265</v>
      </c>
      <c r="K88" s="6">
        <f>(Sales_Data[[#This Row],[Retail Price]]-Sales_Data[[#This Row],[Cost Price]])*Sales_Data[[#This Row],[Quantity]]</f>
        <v>2179.5</v>
      </c>
    </row>
    <row r="89" spans="1:11" x14ac:dyDescent="0.25">
      <c r="A89" s="5">
        <v>44990</v>
      </c>
      <c r="B89" s="6">
        <v>2023</v>
      </c>
      <c r="C89" s="6">
        <v>3</v>
      </c>
      <c r="D89" s="6" t="s">
        <v>10</v>
      </c>
      <c r="E89" s="6" t="s">
        <v>13</v>
      </c>
      <c r="F89" s="6" t="s">
        <v>19</v>
      </c>
      <c r="G89" s="6">
        <v>15</v>
      </c>
      <c r="H89" s="6">
        <v>1795</v>
      </c>
      <c r="I89" s="7">
        <v>1292.4000000000001</v>
      </c>
      <c r="J89" s="6">
        <f>Sales_Data[[#This Row],[Quantity]]*Sales_Data[[#This Row],[Retail Price]]</f>
        <v>26925</v>
      </c>
      <c r="K89" s="6">
        <f>(Sales_Data[[#This Row],[Retail Price]]-Sales_Data[[#This Row],[Cost Price]])*Sales_Data[[#This Row],[Quantity]]</f>
        <v>7538.9999999999982</v>
      </c>
    </row>
    <row r="90" spans="1:11" x14ac:dyDescent="0.25">
      <c r="A90" s="5">
        <v>44629</v>
      </c>
      <c r="B90" s="6">
        <v>2022</v>
      </c>
      <c r="C90" s="6">
        <v>3</v>
      </c>
      <c r="D90" s="6" t="s">
        <v>11</v>
      </c>
      <c r="E90" s="6" t="s">
        <v>13</v>
      </c>
      <c r="F90" s="6" t="s">
        <v>18</v>
      </c>
      <c r="G90" s="6">
        <v>13</v>
      </c>
      <c r="H90" s="6">
        <v>222</v>
      </c>
      <c r="I90" s="7">
        <v>166.5</v>
      </c>
      <c r="J90" s="6">
        <f>Sales_Data[[#This Row],[Quantity]]*Sales_Data[[#This Row],[Retail Price]]</f>
        <v>2886</v>
      </c>
      <c r="K90" s="6">
        <f>(Sales_Data[[#This Row],[Retail Price]]-Sales_Data[[#This Row],[Cost Price]])*Sales_Data[[#This Row],[Quantity]]</f>
        <v>721.5</v>
      </c>
    </row>
    <row r="91" spans="1:11" x14ac:dyDescent="0.25">
      <c r="A91" s="5">
        <v>44568</v>
      </c>
      <c r="B91" s="6">
        <v>2022</v>
      </c>
      <c r="C91" s="6">
        <v>1</v>
      </c>
      <c r="D91" s="6" t="s">
        <v>12</v>
      </c>
      <c r="E91" s="6" t="s">
        <v>13</v>
      </c>
      <c r="F91" s="6" t="s">
        <v>18</v>
      </c>
      <c r="G91" s="6">
        <v>15</v>
      </c>
      <c r="H91" s="6">
        <v>1148</v>
      </c>
      <c r="I91" s="7">
        <v>803.6</v>
      </c>
      <c r="J91" s="6">
        <f>Sales_Data[[#This Row],[Quantity]]*Sales_Data[[#This Row],[Retail Price]]</f>
        <v>17220</v>
      </c>
      <c r="K91" s="6">
        <f>(Sales_Data[[#This Row],[Retail Price]]-Sales_Data[[#This Row],[Cost Price]])*Sales_Data[[#This Row],[Quantity]]</f>
        <v>5166</v>
      </c>
    </row>
    <row r="92" spans="1:11" x14ac:dyDescent="0.25">
      <c r="A92" s="5">
        <v>44948</v>
      </c>
      <c r="B92" s="6">
        <v>2023</v>
      </c>
      <c r="C92" s="6">
        <v>1</v>
      </c>
      <c r="D92" s="6" t="s">
        <v>9</v>
      </c>
      <c r="E92" s="6" t="s">
        <v>13</v>
      </c>
      <c r="F92" s="6" t="s">
        <v>16</v>
      </c>
      <c r="G92" s="6">
        <v>6</v>
      </c>
      <c r="H92" s="6">
        <v>1547</v>
      </c>
      <c r="I92" s="7">
        <v>1129.31</v>
      </c>
      <c r="J92" s="6">
        <f>Sales_Data[[#This Row],[Quantity]]*Sales_Data[[#This Row],[Retail Price]]</f>
        <v>9282</v>
      </c>
      <c r="K92" s="6">
        <f>(Sales_Data[[#This Row],[Retail Price]]-Sales_Data[[#This Row],[Cost Price]])*Sales_Data[[#This Row],[Quantity]]</f>
        <v>2506.1400000000003</v>
      </c>
    </row>
    <row r="93" spans="1:11" x14ac:dyDescent="0.25">
      <c r="A93" s="5">
        <v>44965</v>
      </c>
      <c r="B93" s="6">
        <v>2023</v>
      </c>
      <c r="C93" s="6">
        <v>2</v>
      </c>
      <c r="D93" s="6" t="s">
        <v>10</v>
      </c>
      <c r="E93" s="6" t="s">
        <v>15</v>
      </c>
      <c r="F93" s="6" t="s">
        <v>16</v>
      </c>
      <c r="G93" s="6">
        <v>1</v>
      </c>
      <c r="H93" s="6">
        <v>860</v>
      </c>
      <c r="I93" s="7">
        <v>541.79999999999995</v>
      </c>
      <c r="J93" s="6">
        <f>Sales_Data[[#This Row],[Quantity]]*Sales_Data[[#This Row],[Retail Price]]</f>
        <v>860</v>
      </c>
      <c r="K93" s="6">
        <f>(Sales_Data[[#This Row],[Retail Price]]-Sales_Data[[#This Row],[Cost Price]])*Sales_Data[[#This Row],[Quantity]]</f>
        <v>318.20000000000005</v>
      </c>
    </row>
    <row r="94" spans="1:11" x14ac:dyDescent="0.25">
      <c r="A94" s="5">
        <v>44965</v>
      </c>
      <c r="B94" s="6">
        <v>2023</v>
      </c>
      <c r="C94" s="6">
        <v>2</v>
      </c>
      <c r="D94" s="6" t="s">
        <v>12</v>
      </c>
      <c r="E94" s="6" t="s">
        <v>15</v>
      </c>
      <c r="F94" s="6" t="s">
        <v>20</v>
      </c>
      <c r="G94" s="6">
        <v>20</v>
      </c>
      <c r="H94" s="6">
        <v>395</v>
      </c>
      <c r="I94" s="7">
        <v>304.14999999999998</v>
      </c>
      <c r="J94" s="6">
        <f>Sales_Data[[#This Row],[Quantity]]*Sales_Data[[#This Row],[Retail Price]]</f>
        <v>7900</v>
      </c>
      <c r="K94" s="6">
        <f>(Sales_Data[[#This Row],[Retail Price]]-Sales_Data[[#This Row],[Cost Price]])*Sales_Data[[#This Row],[Quantity]]</f>
        <v>1817.0000000000005</v>
      </c>
    </row>
    <row r="95" spans="1:11" x14ac:dyDescent="0.25">
      <c r="A95" s="5">
        <v>44579</v>
      </c>
      <c r="B95" s="6">
        <v>2022</v>
      </c>
      <c r="C95" s="6">
        <v>1</v>
      </c>
      <c r="D95" s="6" t="s">
        <v>10</v>
      </c>
      <c r="E95" s="6" t="s">
        <v>13</v>
      </c>
      <c r="F95" s="6" t="s">
        <v>19</v>
      </c>
      <c r="G95" s="6">
        <v>19</v>
      </c>
      <c r="H95" s="6">
        <v>1747</v>
      </c>
      <c r="I95" s="7">
        <v>1240.3699999999999</v>
      </c>
      <c r="J95" s="6">
        <f>Sales_Data[[#This Row],[Quantity]]*Sales_Data[[#This Row],[Retail Price]]</f>
        <v>33193</v>
      </c>
      <c r="K95" s="6">
        <f>(Sales_Data[[#This Row],[Retail Price]]-Sales_Data[[#This Row],[Cost Price]])*Sales_Data[[#This Row],[Quantity]]</f>
        <v>9625.9700000000012</v>
      </c>
    </row>
    <row r="96" spans="1:11" x14ac:dyDescent="0.25">
      <c r="A96" s="5">
        <v>44589</v>
      </c>
      <c r="B96" s="6">
        <v>2022</v>
      </c>
      <c r="C96" s="6">
        <v>1</v>
      </c>
      <c r="D96" s="6" t="s">
        <v>10</v>
      </c>
      <c r="E96" s="6" t="s">
        <v>15</v>
      </c>
      <c r="F96" s="6" t="s">
        <v>20</v>
      </c>
      <c r="G96" s="6">
        <v>13</v>
      </c>
      <c r="H96" s="6">
        <v>749</v>
      </c>
      <c r="I96" s="7">
        <v>576.73</v>
      </c>
      <c r="J96" s="6">
        <f>Sales_Data[[#This Row],[Quantity]]*Sales_Data[[#This Row],[Retail Price]]</f>
        <v>9737</v>
      </c>
      <c r="K96" s="6">
        <f>(Sales_Data[[#This Row],[Retail Price]]-Sales_Data[[#This Row],[Cost Price]])*Sales_Data[[#This Row],[Quantity]]</f>
        <v>2239.5099999999998</v>
      </c>
    </row>
    <row r="97" spans="1:11" x14ac:dyDescent="0.25">
      <c r="A97" s="5">
        <v>44947</v>
      </c>
      <c r="B97" s="6">
        <v>2023</v>
      </c>
      <c r="C97" s="6">
        <v>1</v>
      </c>
      <c r="D97" s="6" t="s">
        <v>11</v>
      </c>
      <c r="E97" s="6" t="s">
        <v>14</v>
      </c>
      <c r="F97" s="6" t="s">
        <v>16</v>
      </c>
      <c r="G97" s="6">
        <v>6</v>
      </c>
      <c r="H97" s="6">
        <v>1948</v>
      </c>
      <c r="I97" s="7">
        <v>1324.64</v>
      </c>
      <c r="J97" s="6">
        <f>Sales_Data[[#This Row],[Quantity]]*Sales_Data[[#This Row],[Retail Price]]</f>
        <v>11688</v>
      </c>
      <c r="K97" s="6">
        <f>(Sales_Data[[#This Row],[Retail Price]]-Sales_Data[[#This Row],[Cost Price]])*Sales_Data[[#This Row],[Quantity]]</f>
        <v>3740.1599999999994</v>
      </c>
    </row>
    <row r="98" spans="1:11" x14ac:dyDescent="0.25">
      <c r="A98" s="5">
        <v>44633</v>
      </c>
      <c r="B98" s="6">
        <v>2022</v>
      </c>
      <c r="C98" s="6">
        <v>3</v>
      </c>
      <c r="D98" s="6" t="s">
        <v>12</v>
      </c>
      <c r="E98" s="6" t="s">
        <v>14</v>
      </c>
      <c r="F98" s="6" t="s">
        <v>19</v>
      </c>
      <c r="G98" s="6">
        <v>18</v>
      </c>
      <c r="H98" s="6">
        <v>1579</v>
      </c>
      <c r="I98" s="7">
        <v>1247.4100000000001</v>
      </c>
      <c r="J98" s="6">
        <f>Sales_Data[[#This Row],[Quantity]]*Sales_Data[[#This Row],[Retail Price]]</f>
        <v>28422</v>
      </c>
      <c r="K98" s="6">
        <f>(Sales_Data[[#This Row],[Retail Price]]-Sales_Data[[#This Row],[Cost Price]])*Sales_Data[[#This Row],[Quantity]]</f>
        <v>5968.619999999999</v>
      </c>
    </row>
    <row r="99" spans="1:11" x14ac:dyDescent="0.25">
      <c r="A99" s="5">
        <v>44638</v>
      </c>
      <c r="B99" s="6">
        <v>2022</v>
      </c>
      <c r="C99" s="6">
        <v>3</v>
      </c>
      <c r="D99" s="6" t="s">
        <v>12</v>
      </c>
      <c r="E99" s="6" t="s">
        <v>14</v>
      </c>
      <c r="F99" s="6" t="s">
        <v>18</v>
      </c>
      <c r="G99" s="6">
        <v>2</v>
      </c>
      <c r="H99" s="6">
        <v>1970</v>
      </c>
      <c r="I99" s="7">
        <v>1221.4000000000001</v>
      </c>
      <c r="J99" s="6">
        <f>Sales_Data[[#This Row],[Quantity]]*Sales_Data[[#This Row],[Retail Price]]</f>
        <v>3940</v>
      </c>
      <c r="K99" s="6">
        <f>(Sales_Data[[#This Row],[Retail Price]]-Sales_Data[[#This Row],[Cost Price]])*Sales_Data[[#This Row],[Quantity]]</f>
        <v>1497.1999999999998</v>
      </c>
    </row>
    <row r="100" spans="1:11" x14ac:dyDescent="0.25">
      <c r="A100" s="5">
        <v>44986</v>
      </c>
      <c r="B100" s="6">
        <v>2023</v>
      </c>
      <c r="C100" s="6">
        <v>3</v>
      </c>
      <c r="D100" s="6" t="s">
        <v>9</v>
      </c>
      <c r="E100" s="6" t="s">
        <v>14</v>
      </c>
      <c r="F100" s="6" t="s">
        <v>19</v>
      </c>
      <c r="G100" s="6">
        <v>3</v>
      </c>
      <c r="H100" s="6">
        <v>868</v>
      </c>
      <c r="I100" s="7">
        <v>624.96</v>
      </c>
      <c r="J100" s="6">
        <f>Sales_Data[[#This Row],[Quantity]]*Sales_Data[[#This Row],[Retail Price]]</f>
        <v>2604</v>
      </c>
      <c r="K100" s="6">
        <f>(Sales_Data[[#This Row],[Retail Price]]-Sales_Data[[#This Row],[Cost Price]])*Sales_Data[[#This Row],[Quantity]]</f>
        <v>729.11999999999989</v>
      </c>
    </row>
    <row r="101" spans="1:11" x14ac:dyDescent="0.25">
      <c r="A101" s="5">
        <v>44589</v>
      </c>
      <c r="B101" s="6">
        <v>2022</v>
      </c>
      <c r="C101" s="6">
        <v>1</v>
      </c>
      <c r="D101" s="6" t="s">
        <v>9</v>
      </c>
      <c r="E101" s="6" t="s">
        <v>13</v>
      </c>
      <c r="F101" s="6" t="s">
        <v>18</v>
      </c>
      <c r="G101" s="6">
        <v>16</v>
      </c>
      <c r="H101" s="6">
        <v>828</v>
      </c>
      <c r="I101" s="7">
        <v>554.76</v>
      </c>
      <c r="J101" s="6">
        <f>Sales_Data[[#This Row],[Quantity]]*Sales_Data[[#This Row],[Retail Price]]</f>
        <v>13248</v>
      </c>
      <c r="K101" s="6">
        <f>(Sales_Data[[#This Row],[Retail Price]]-Sales_Data[[#This Row],[Cost Price]])*Sales_Data[[#This Row],[Quantity]]</f>
        <v>4371.84</v>
      </c>
    </row>
    <row r="102" spans="1:11" x14ac:dyDescent="0.25">
      <c r="A102" s="5">
        <v>44943</v>
      </c>
      <c r="B102" s="6">
        <v>2023</v>
      </c>
      <c r="C102" s="6">
        <v>1</v>
      </c>
      <c r="D102" s="6" t="s">
        <v>11</v>
      </c>
      <c r="E102" s="6" t="s">
        <v>14</v>
      </c>
      <c r="F102" s="6" t="s">
        <v>20</v>
      </c>
      <c r="G102" s="6">
        <v>17</v>
      </c>
      <c r="H102" s="6">
        <v>1588</v>
      </c>
      <c r="I102" s="7">
        <v>1206.8800000000001</v>
      </c>
      <c r="J102" s="6">
        <f>Sales_Data[[#This Row],[Quantity]]*Sales_Data[[#This Row],[Retail Price]]</f>
        <v>26996</v>
      </c>
      <c r="K102" s="6">
        <f>(Sales_Data[[#This Row],[Retail Price]]-Sales_Data[[#This Row],[Cost Price]])*Sales_Data[[#This Row],[Quantity]]</f>
        <v>6479.0399999999981</v>
      </c>
    </row>
    <row r="103" spans="1:11" x14ac:dyDescent="0.25">
      <c r="A103" s="5">
        <v>44963</v>
      </c>
      <c r="B103" s="6">
        <v>2023</v>
      </c>
      <c r="C103" s="6">
        <v>2</v>
      </c>
      <c r="D103" s="6" t="s">
        <v>10</v>
      </c>
      <c r="E103" s="6" t="s">
        <v>13</v>
      </c>
      <c r="F103" s="6" t="s">
        <v>16</v>
      </c>
      <c r="G103" s="6">
        <v>20</v>
      </c>
      <c r="H103" s="6">
        <v>1957</v>
      </c>
      <c r="I103" s="7">
        <v>1311.19</v>
      </c>
      <c r="J103" s="6">
        <f>Sales_Data[[#This Row],[Quantity]]*Sales_Data[[#This Row],[Retail Price]]</f>
        <v>39140</v>
      </c>
      <c r="K103" s="6">
        <f>(Sales_Data[[#This Row],[Retail Price]]-Sales_Data[[#This Row],[Cost Price]])*Sales_Data[[#This Row],[Quantity]]</f>
        <v>12916.199999999999</v>
      </c>
    </row>
    <row r="104" spans="1:11" x14ac:dyDescent="0.25">
      <c r="A104" s="5">
        <v>44643</v>
      </c>
      <c r="B104" s="6">
        <v>2022</v>
      </c>
      <c r="C104" s="6">
        <v>3</v>
      </c>
      <c r="D104" s="6" t="s">
        <v>9</v>
      </c>
      <c r="E104" s="6" t="s">
        <v>15</v>
      </c>
      <c r="F104" s="6" t="s">
        <v>17</v>
      </c>
      <c r="G104" s="6">
        <v>16</v>
      </c>
      <c r="H104" s="6">
        <v>1552</v>
      </c>
      <c r="I104" s="7">
        <v>1055.3599999999999</v>
      </c>
      <c r="J104" s="6">
        <f>Sales_Data[[#This Row],[Quantity]]*Sales_Data[[#This Row],[Retail Price]]</f>
        <v>24832</v>
      </c>
      <c r="K104" s="6">
        <f>(Sales_Data[[#This Row],[Retail Price]]-Sales_Data[[#This Row],[Cost Price]])*Sales_Data[[#This Row],[Quantity]]</f>
        <v>7946.2400000000016</v>
      </c>
    </row>
    <row r="105" spans="1:11" x14ac:dyDescent="0.25">
      <c r="A105" s="5">
        <v>44613</v>
      </c>
      <c r="B105" s="6">
        <v>2022</v>
      </c>
      <c r="C105" s="6">
        <v>2</v>
      </c>
      <c r="D105" s="6" t="s">
        <v>11</v>
      </c>
      <c r="E105" s="6" t="s">
        <v>14</v>
      </c>
      <c r="F105" s="6" t="s">
        <v>18</v>
      </c>
      <c r="G105" s="6">
        <v>3</v>
      </c>
      <c r="H105" s="6">
        <v>1967</v>
      </c>
      <c r="I105" s="7">
        <v>1278.55</v>
      </c>
      <c r="J105" s="6">
        <f>Sales_Data[[#This Row],[Quantity]]*Sales_Data[[#This Row],[Retail Price]]</f>
        <v>5901</v>
      </c>
      <c r="K105" s="6">
        <f>(Sales_Data[[#This Row],[Retail Price]]-Sales_Data[[#This Row],[Cost Price]])*Sales_Data[[#This Row],[Quantity]]</f>
        <v>2065.3500000000004</v>
      </c>
    </row>
    <row r="106" spans="1:11" x14ac:dyDescent="0.25">
      <c r="A106" s="5">
        <v>44625</v>
      </c>
      <c r="B106" s="6">
        <v>2022</v>
      </c>
      <c r="C106" s="6">
        <v>3</v>
      </c>
      <c r="D106" s="6" t="s">
        <v>12</v>
      </c>
      <c r="E106" s="6" t="s">
        <v>15</v>
      </c>
      <c r="F106" s="6" t="s">
        <v>20</v>
      </c>
      <c r="G106" s="6">
        <v>13</v>
      </c>
      <c r="H106" s="6">
        <v>1048</v>
      </c>
      <c r="I106" s="7">
        <v>681.2</v>
      </c>
      <c r="J106" s="6">
        <f>Sales_Data[[#This Row],[Quantity]]*Sales_Data[[#This Row],[Retail Price]]</f>
        <v>13624</v>
      </c>
      <c r="K106" s="6">
        <f>(Sales_Data[[#This Row],[Retail Price]]-Sales_Data[[#This Row],[Cost Price]])*Sales_Data[[#This Row],[Quantity]]</f>
        <v>4768.3999999999996</v>
      </c>
    </row>
    <row r="107" spans="1:11" x14ac:dyDescent="0.25">
      <c r="A107" s="5">
        <v>44564</v>
      </c>
      <c r="B107" s="6">
        <v>2022</v>
      </c>
      <c r="C107" s="6">
        <v>1</v>
      </c>
      <c r="D107" s="6" t="s">
        <v>10</v>
      </c>
      <c r="E107" s="6" t="s">
        <v>14</v>
      </c>
      <c r="F107" s="6" t="s">
        <v>17</v>
      </c>
      <c r="G107" s="6">
        <v>2</v>
      </c>
      <c r="H107" s="6">
        <v>1494</v>
      </c>
      <c r="I107" s="7">
        <v>956.16</v>
      </c>
      <c r="J107" s="6">
        <f>Sales_Data[[#This Row],[Quantity]]*Sales_Data[[#This Row],[Retail Price]]</f>
        <v>2988</v>
      </c>
      <c r="K107" s="6">
        <f>(Sales_Data[[#This Row],[Retail Price]]-Sales_Data[[#This Row],[Cost Price]])*Sales_Data[[#This Row],[Quantity]]</f>
        <v>1075.68</v>
      </c>
    </row>
    <row r="108" spans="1:11" x14ac:dyDescent="0.25">
      <c r="A108" s="5">
        <v>44608</v>
      </c>
      <c r="B108" s="6">
        <v>2022</v>
      </c>
      <c r="C108" s="6">
        <v>2</v>
      </c>
      <c r="D108" s="6" t="s">
        <v>11</v>
      </c>
      <c r="E108" s="6" t="s">
        <v>14</v>
      </c>
      <c r="F108" s="6" t="s">
        <v>19</v>
      </c>
      <c r="G108" s="6">
        <v>13</v>
      </c>
      <c r="H108" s="6">
        <v>1952</v>
      </c>
      <c r="I108" s="7">
        <v>1385.92</v>
      </c>
      <c r="J108" s="6">
        <f>Sales_Data[[#This Row],[Quantity]]*Sales_Data[[#This Row],[Retail Price]]</f>
        <v>25376</v>
      </c>
      <c r="K108" s="6">
        <f>(Sales_Data[[#This Row],[Retail Price]]-Sales_Data[[#This Row],[Cost Price]])*Sales_Data[[#This Row],[Quantity]]</f>
        <v>7359.0399999999991</v>
      </c>
    </row>
    <row r="109" spans="1:11" x14ac:dyDescent="0.25">
      <c r="A109" s="5">
        <v>44620</v>
      </c>
      <c r="B109" s="6">
        <v>2022</v>
      </c>
      <c r="C109" s="6">
        <v>2</v>
      </c>
      <c r="D109" s="6" t="s">
        <v>12</v>
      </c>
      <c r="E109" s="6" t="s">
        <v>14</v>
      </c>
      <c r="F109" s="6" t="s">
        <v>16</v>
      </c>
      <c r="G109" s="6">
        <v>20</v>
      </c>
      <c r="H109" s="6">
        <v>819</v>
      </c>
      <c r="I109" s="7">
        <v>507.78</v>
      </c>
      <c r="J109" s="6">
        <f>Sales_Data[[#This Row],[Quantity]]*Sales_Data[[#This Row],[Retail Price]]</f>
        <v>16380</v>
      </c>
      <c r="K109" s="6">
        <f>(Sales_Data[[#This Row],[Retail Price]]-Sales_Data[[#This Row],[Cost Price]])*Sales_Data[[#This Row],[Quantity]]</f>
        <v>6224.4000000000005</v>
      </c>
    </row>
    <row r="110" spans="1:11" x14ac:dyDescent="0.25">
      <c r="A110" s="5">
        <v>44627</v>
      </c>
      <c r="B110" s="6">
        <v>2022</v>
      </c>
      <c r="C110" s="6">
        <v>3</v>
      </c>
      <c r="D110" s="6" t="s">
        <v>10</v>
      </c>
      <c r="E110" s="6" t="s">
        <v>13</v>
      </c>
      <c r="F110" s="6" t="s">
        <v>19</v>
      </c>
      <c r="G110" s="6">
        <v>20</v>
      </c>
      <c r="H110" s="6">
        <v>1795</v>
      </c>
      <c r="I110" s="7">
        <v>1346.25</v>
      </c>
      <c r="J110" s="6">
        <f>Sales_Data[[#This Row],[Quantity]]*Sales_Data[[#This Row],[Retail Price]]</f>
        <v>35900</v>
      </c>
      <c r="K110" s="6">
        <f>(Sales_Data[[#This Row],[Retail Price]]-Sales_Data[[#This Row],[Cost Price]])*Sales_Data[[#This Row],[Quantity]]</f>
        <v>8975</v>
      </c>
    </row>
    <row r="111" spans="1:11" x14ac:dyDescent="0.25">
      <c r="A111" s="5">
        <v>44585</v>
      </c>
      <c r="B111" s="6">
        <v>2022</v>
      </c>
      <c r="C111" s="6">
        <v>1</v>
      </c>
      <c r="D111" s="6" t="s">
        <v>10</v>
      </c>
      <c r="E111" s="6" t="s">
        <v>13</v>
      </c>
      <c r="F111" s="6" t="s">
        <v>19</v>
      </c>
      <c r="G111" s="6">
        <v>2</v>
      </c>
      <c r="H111" s="6">
        <v>1168</v>
      </c>
      <c r="I111" s="7">
        <v>817.6</v>
      </c>
      <c r="J111" s="6">
        <f>Sales_Data[[#This Row],[Quantity]]*Sales_Data[[#This Row],[Retail Price]]</f>
        <v>2336</v>
      </c>
      <c r="K111" s="6">
        <f>(Sales_Data[[#This Row],[Retail Price]]-Sales_Data[[#This Row],[Cost Price]])*Sales_Data[[#This Row],[Quantity]]</f>
        <v>700.8</v>
      </c>
    </row>
    <row r="112" spans="1:11" x14ac:dyDescent="0.25">
      <c r="A112" s="5">
        <v>44585</v>
      </c>
      <c r="B112" s="6">
        <v>2022</v>
      </c>
      <c r="C112" s="6">
        <v>1</v>
      </c>
      <c r="D112" s="6" t="s">
        <v>9</v>
      </c>
      <c r="E112" s="6" t="s">
        <v>15</v>
      </c>
      <c r="F112" s="6" t="s">
        <v>16</v>
      </c>
      <c r="G112" s="6">
        <v>12</v>
      </c>
      <c r="H112" s="6">
        <v>835</v>
      </c>
      <c r="I112" s="7">
        <v>634.6</v>
      </c>
      <c r="J112" s="6">
        <f>Sales_Data[[#This Row],[Quantity]]*Sales_Data[[#This Row],[Retail Price]]</f>
        <v>10020</v>
      </c>
      <c r="K112" s="6">
        <f>(Sales_Data[[#This Row],[Retail Price]]-Sales_Data[[#This Row],[Cost Price]])*Sales_Data[[#This Row],[Quantity]]</f>
        <v>2404.7999999999997</v>
      </c>
    </row>
    <row r="113" spans="1:11" x14ac:dyDescent="0.25">
      <c r="A113" s="5">
        <v>45006</v>
      </c>
      <c r="B113" s="6">
        <v>2023</v>
      </c>
      <c r="C113" s="6">
        <v>3</v>
      </c>
      <c r="D113" s="6" t="s">
        <v>11</v>
      </c>
      <c r="E113" s="6" t="s">
        <v>14</v>
      </c>
      <c r="F113" s="6" t="s">
        <v>17</v>
      </c>
      <c r="G113" s="6">
        <v>6</v>
      </c>
      <c r="H113" s="6">
        <v>1609</v>
      </c>
      <c r="I113" s="7">
        <v>1238.93</v>
      </c>
      <c r="J113" s="6">
        <f>Sales_Data[[#This Row],[Quantity]]*Sales_Data[[#This Row],[Retail Price]]</f>
        <v>9654</v>
      </c>
      <c r="K113" s="6">
        <f>(Sales_Data[[#This Row],[Retail Price]]-Sales_Data[[#This Row],[Cost Price]])*Sales_Data[[#This Row],[Quantity]]</f>
        <v>2220.4199999999996</v>
      </c>
    </row>
    <row r="114" spans="1:11" x14ac:dyDescent="0.25">
      <c r="A114" s="5">
        <v>44980</v>
      </c>
      <c r="B114" s="6">
        <v>2023</v>
      </c>
      <c r="C114" s="6">
        <v>2</v>
      </c>
      <c r="D114" s="6" t="s">
        <v>11</v>
      </c>
      <c r="E114" s="6" t="s">
        <v>13</v>
      </c>
      <c r="F114" s="6" t="s">
        <v>16</v>
      </c>
      <c r="G114" s="6">
        <v>19</v>
      </c>
      <c r="H114" s="6">
        <v>839</v>
      </c>
      <c r="I114" s="7">
        <v>620.86</v>
      </c>
      <c r="J114" s="6">
        <f>Sales_Data[[#This Row],[Quantity]]*Sales_Data[[#This Row],[Retail Price]]</f>
        <v>15941</v>
      </c>
      <c r="K114" s="6">
        <f>(Sales_Data[[#This Row],[Retail Price]]-Sales_Data[[#This Row],[Cost Price]])*Sales_Data[[#This Row],[Quantity]]</f>
        <v>4144.66</v>
      </c>
    </row>
    <row r="115" spans="1:11" x14ac:dyDescent="0.25">
      <c r="A115" s="5">
        <v>44993</v>
      </c>
      <c r="B115" s="6">
        <v>2023</v>
      </c>
      <c r="C115" s="6">
        <v>3</v>
      </c>
      <c r="D115" s="6" t="s">
        <v>9</v>
      </c>
      <c r="E115" s="6" t="s">
        <v>13</v>
      </c>
      <c r="F115" s="6" t="s">
        <v>17</v>
      </c>
      <c r="G115" s="6">
        <v>1</v>
      </c>
      <c r="H115" s="6">
        <v>1871</v>
      </c>
      <c r="I115" s="7">
        <v>1234.8599999999999</v>
      </c>
      <c r="J115" s="6">
        <f>Sales_Data[[#This Row],[Quantity]]*Sales_Data[[#This Row],[Retail Price]]</f>
        <v>1871</v>
      </c>
      <c r="K115" s="6">
        <f>(Sales_Data[[#This Row],[Retail Price]]-Sales_Data[[#This Row],[Cost Price]])*Sales_Data[[#This Row],[Quantity]]</f>
        <v>636.1400000000001</v>
      </c>
    </row>
    <row r="116" spans="1:11" x14ac:dyDescent="0.25">
      <c r="A116" s="5">
        <v>44565</v>
      </c>
      <c r="B116" s="6">
        <v>2022</v>
      </c>
      <c r="C116" s="6">
        <v>1</v>
      </c>
      <c r="D116" s="6" t="s">
        <v>9</v>
      </c>
      <c r="E116" s="6" t="s">
        <v>15</v>
      </c>
      <c r="F116" s="6" t="s">
        <v>17</v>
      </c>
      <c r="G116" s="6">
        <v>15</v>
      </c>
      <c r="H116" s="6">
        <v>527</v>
      </c>
      <c r="I116" s="7">
        <v>337.28</v>
      </c>
      <c r="J116" s="6">
        <f>Sales_Data[[#This Row],[Quantity]]*Sales_Data[[#This Row],[Retail Price]]</f>
        <v>7905</v>
      </c>
      <c r="K116" s="6">
        <f>(Sales_Data[[#This Row],[Retail Price]]-Sales_Data[[#This Row],[Cost Price]])*Sales_Data[[#This Row],[Quantity]]</f>
        <v>2845.8</v>
      </c>
    </row>
    <row r="117" spans="1:11" x14ac:dyDescent="0.25">
      <c r="A117" s="5">
        <v>44968</v>
      </c>
      <c r="B117" s="6">
        <v>2023</v>
      </c>
      <c r="C117" s="6">
        <v>2</v>
      </c>
      <c r="D117" s="6" t="s">
        <v>11</v>
      </c>
      <c r="E117" s="6" t="s">
        <v>15</v>
      </c>
      <c r="F117" s="6" t="s">
        <v>17</v>
      </c>
      <c r="G117" s="6">
        <v>9</v>
      </c>
      <c r="H117" s="6">
        <v>1735</v>
      </c>
      <c r="I117" s="7">
        <v>1283.9000000000001</v>
      </c>
      <c r="J117" s="6">
        <f>Sales_Data[[#This Row],[Quantity]]*Sales_Data[[#This Row],[Retail Price]]</f>
        <v>15615</v>
      </c>
      <c r="K117" s="6">
        <f>(Sales_Data[[#This Row],[Retail Price]]-Sales_Data[[#This Row],[Cost Price]])*Sales_Data[[#This Row],[Quantity]]</f>
        <v>4059.8999999999992</v>
      </c>
    </row>
    <row r="118" spans="1:11" x14ac:dyDescent="0.25">
      <c r="A118" s="5">
        <v>44643</v>
      </c>
      <c r="B118" s="6">
        <v>2022</v>
      </c>
      <c r="C118" s="6">
        <v>3</v>
      </c>
      <c r="D118" s="6" t="s">
        <v>10</v>
      </c>
      <c r="E118" s="6" t="s">
        <v>15</v>
      </c>
      <c r="F118" s="6" t="s">
        <v>18</v>
      </c>
      <c r="G118" s="6">
        <v>13</v>
      </c>
      <c r="H118" s="6">
        <v>1125</v>
      </c>
      <c r="I118" s="7">
        <v>765</v>
      </c>
      <c r="J118" s="6">
        <f>Sales_Data[[#This Row],[Quantity]]*Sales_Data[[#This Row],[Retail Price]]</f>
        <v>14625</v>
      </c>
      <c r="K118" s="6">
        <f>(Sales_Data[[#This Row],[Retail Price]]-Sales_Data[[#This Row],[Cost Price]])*Sales_Data[[#This Row],[Quantity]]</f>
        <v>4680</v>
      </c>
    </row>
    <row r="119" spans="1:11" x14ac:dyDescent="0.25">
      <c r="A119" s="5">
        <v>44639</v>
      </c>
      <c r="B119" s="6">
        <v>2022</v>
      </c>
      <c r="C119" s="6">
        <v>3</v>
      </c>
      <c r="D119" s="6" t="s">
        <v>12</v>
      </c>
      <c r="E119" s="6" t="s">
        <v>14</v>
      </c>
      <c r="F119" s="6" t="s">
        <v>16</v>
      </c>
      <c r="G119" s="6">
        <v>4</v>
      </c>
      <c r="H119" s="6">
        <v>1098</v>
      </c>
      <c r="I119" s="7">
        <v>834.48</v>
      </c>
      <c r="J119" s="6">
        <f>Sales_Data[[#This Row],[Quantity]]*Sales_Data[[#This Row],[Retail Price]]</f>
        <v>4392</v>
      </c>
      <c r="K119" s="6">
        <f>(Sales_Data[[#This Row],[Retail Price]]-Sales_Data[[#This Row],[Cost Price]])*Sales_Data[[#This Row],[Quantity]]</f>
        <v>1054.08</v>
      </c>
    </row>
    <row r="120" spans="1:11" x14ac:dyDescent="0.25">
      <c r="A120" s="5">
        <v>44612</v>
      </c>
      <c r="B120" s="6">
        <v>2022</v>
      </c>
      <c r="C120" s="6">
        <v>2</v>
      </c>
      <c r="D120" s="6" t="s">
        <v>10</v>
      </c>
      <c r="E120" s="6" t="s">
        <v>13</v>
      </c>
      <c r="F120" s="6" t="s">
        <v>17</v>
      </c>
      <c r="G120" s="6">
        <v>5</v>
      </c>
      <c r="H120" s="6">
        <v>103</v>
      </c>
      <c r="I120" s="7">
        <v>70.040000000000006</v>
      </c>
      <c r="J120" s="6">
        <f>Sales_Data[[#This Row],[Quantity]]*Sales_Data[[#This Row],[Retail Price]]</f>
        <v>515</v>
      </c>
      <c r="K120" s="6">
        <f>(Sales_Data[[#This Row],[Retail Price]]-Sales_Data[[#This Row],[Cost Price]])*Sales_Data[[#This Row],[Quantity]]</f>
        <v>164.79999999999995</v>
      </c>
    </row>
    <row r="121" spans="1:11" x14ac:dyDescent="0.25">
      <c r="A121" s="5">
        <v>44609</v>
      </c>
      <c r="B121" s="6">
        <v>2022</v>
      </c>
      <c r="C121" s="6">
        <v>2</v>
      </c>
      <c r="D121" s="6" t="s">
        <v>12</v>
      </c>
      <c r="E121" s="6" t="s">
        <v>13</v>
      </c>
      <c r="F121" s="6" t="s">
        <v>19</v>
      </c>
      <c r="G121" s="6">
        <v>16</v>
      </c>
      <c r="H121" s="6">
        <v>1788</v>
      </c>
      <c r="I121" s="7">
        <v>1287.3599999999999</v>
      </c>
      <c r="J121" s="6">
        <f>Sales_Data[[#This Row],[Quantity]]*Sales_Data[[#This Row],[Retail Price]]</f>
        <v>28608</v>
      </c>
      <c r="K121" s="6">
        <f>(Sales_Data[[#This Row],[Retail Price]]-Sales_Data[[#This Row],[Cost Price]])*Sales_Data[[#This Row],[Quantity]]</f>
        <v>8010.2400000000016</v>
      </c>
    </row>
    <row r="122" spans="1:11" x14ac:dyDescent="0.25">
      <c r="A122" s="5">
        <v>44618</v>
      </c>
      <c r="B122" s="6">
        <v>2022</v>
      </c>
      <c r="C122" s="6">
        <v>2</v>
      </c>
      <c r="D122" s="6" t="s">
        <v>12</v>
      </c>
      <c r="E122" s="6" t="s">
        <v>15</v>
      </c>
      <c r="F122" s="6" t="s">
        <v>17</v>
      </c>
      <c r="G122" s="6">
        <v>15</v>
      </c>
      <c r="H122" s="6">
        <v>939</v>
      </c>
      <c r="I122" s="7">
        <v>741.81</v>
      </c>
      <c r="J122" s="6">
        <f>Sales_Data[[#This Row],[Quantity]]*Sales_Data[[#This Row],[Retail Price]]</f>
        <v>14085</v>
      </c>
      <c r="K122" s="6">
        <f>(Sales_Data[[#This Row],[Retail Price]]-Sales_Data[[#This Row],[Cost Price]])*Sales_Data[[#This Row],[Quantity]]</f>
        <v>2957.8500000000008</v>
      </c>
    </row>
    <row r="123" spans="1:11" x14ac:dyDescent="0.25">
      <c r="A123" s="5">
        <v>44581</v>
      </c>
      <c r="B123" s="6">
        <v>2022</v>
      </c>
      <c r="C123" s="6">
        <v>1</v>
      </c>
      <c r="D123" s="6" t="s">
        <v>11</v>
      </c>
      <c r="E123" s="6" t="s">
        <v>13</v>
      </c>
      <c r="F123" s="6" t="s">
        <v>19</v>
      </c>
      <c r="G123" s="6">
        <v>3</v>
      </c>
      <c r="H123" s="6">
        <v>338</v>
      </c>
      <c r="I123" s="7">
        <v>226.46</v>
      </c>
      <c r="J123" s="6">
        <f>Sales_Data[[#This Row],[Quantity]]*Sales_Data[[#This Row],[Retail Price]]</f>
        <v>1014</v>
      </c>
      <c r="K123" s="6">
        <f>(Sales_Data[[#This Row],[Retail Price]]-Sales_Data[[#This Row],[Cost Price]])*Sales_Data[[#This Row],[Quantity]]</f>
        <v>334.62</v>
      </c>
    </row>
    <row r="124" spans="1:11" x14ac:dyDescent="0.25">
      <c r="A124" s="5">
        <v>44587</v>
      </c>
      <c r="B124" s="6">
        <v>2022</v>
      </c>
      <c r="C124" s="6">
        <v>1</v>
      </c>
      <c r="D124" s="6" t="s">
        <v>9</v>
      </c>
      <c r="E124" s="6" t="s">
        <v>14</v>
      </c>
      <c r="F124" s="6" t="s">
        <v>19</v>
      </c>
      <c r="G124" s="6">
        <v>1</v>
      </c>
      <c r="H124" s="6">
        <v>1849</v>
      </c>
      <c r="I124" s="7">
        <v>1109.4000000000001</v>
      </c>
      <c r="J124" s="6">
        <f>Sales_Data[[#This Row],[Quantity]]*Sales_Data[[#This Row],[Retail Price]]</f>
        <v>1849</v>
      </c>
      <c r="K124" s="6">
        <f>(Sales_Data[[#This Row],[Retail Price]]-Sales_Data[[#This Row],[Cost Price]])*Sales_Data[[#This Row],[Quantity]]</f>
        <v>739.59999999999991</v>
      </c>
    </row>
    <row r="125" spans="1:11" x14ac:dyDescent="0.25">
      <c r="A125" s="5">
        <v>44965</v>
      </c>
      <c r="B125" s="6">
        <v>2023</v>
      </c>
      <c r="C125" s="6">
        <v>2</v>
      </c>
      <c r="D125" s="6" t="s">
        <v>10</v>
      </c>
      <c r="E125" s="6" t="s">
        <v>15</v>
      </c>
      <c r="F125" s="6" t="s">
        <v>17</v>
      </c>
      <c r="G125" s="6">
        <v>15</v>
      </c>
      <c r="H125" s="6">
        <v>1188</v>
      </c>
      <c r="I125" s="7">
        <v>819.72</v>
      </c>
      <c r="J125" s="6">
        <f>Sales_Data[[#This Row],[Quantity]]*Sales_Data[[#This Row],[Retail Price]]</f>
        <v>17820</v>
      </c>
      <c r="K125" s="6">
        <f>(Sales_Data[[#This Row],[Retail Price]]-Sales_Data[[#This Row],[Cost Price]])*Sales_Data[[#This Row],[Quantity]]</f>
        <v>5524.2</v>
      </c>
    </row>
    <row r="126" spans="1:11" x14ac:dyDescent="0.25">
      <c r="A126" s="5">
        <v>44977</v>
      </c>
      <c r="B126" s="6">
        <v>2023</v>
      </c>
      <c r="C126" s="6">
        <v>2</v>
      </c>
      <c r="D126" s="6" t="s">
        <v>9</v>
      </c>
      <c r="E126" s="6" t="s">
        <v>15</v>
      </c>
      <c r="F126" s="6" t="s">
        <v>20</v>
      </c>
      <c r="G126" s="6">
        <v>8</v>
      </c>
      <c r="H126" s="6">
        <v>1813</v>
      </c>
      <c r="I126" s="7">
        <v>1359.75</v>
      </c>
      <c r="J126" s="6">
        <f>Sales_Data[[#This Row],[Quantity]]*Sales_Data[[#This Row],[Retail Price]]</f>
        <v>14504</v>
      </c>
      <c r="K126" s="6">
        <f>(Sales_Data[[#This Row],[Retail Price]]-Sales_Data[[#This Row],[Cost Price]])*Sales_Data[[#This Row],[Quantity]]</f>
        <v>3626</v>
      </c>
    </row>
    <row r="127" spans="1:11" x14ac:dyDescent="0.25">
      <c r="A127" s="5">
        <v>44631</v>
      </c>
      <c r="B127" s="6">
        <v>2022</v>
      </c>
      <c r="C127" s="6">
        <v>3</v>
      </c>
      <c r="D127" s="6" t="s">
        <v>10</v>
      </c>
      <c r="E127" s="6" t="s">
        <v>14</v>
      </c>
      <c r="F127" s="6" t="s">
        <v>20</v>
      </c>
      <c r="G127" s="6">
        <v>9</v>
      </c>
      <c r="H127" s="6">
        <v>598</v>
      </c>
      <c r="I127" s="7">
        <v>394.68</v>
      </c>
      <c r="J127" s="6">
        <f>Sales_Data[[#This Row],[Quantity]]*Sales_Data[[#This Row],[Retail Price]]</f>
        <v>5382</v>
      </c>
      <c r="K127" s="6">
        <f>(Sales_Data[[#This Row],[Retail Price]]-Sales_Data[[#This Row],[Cost Price]])*Sales_Data[[#This Row],[Quantity]]</f>
        <v>1829.8799999999999</v>
      </c>
    </row>
    <row r="128" spans="1:11" x14ac:dyDescent="0.25">
      <c r="A128" s="5">
        <v>44984</v>
      </c>
      <c r="B128" s="6">
        <v>2023</v>
      </c>
      <c r="C128" s="6">
        <v>2</v>
      </c>
      <c r="D128" s="6" t="s">
        <v>12</v>
      </c>
      <c r="E128" s="6" t="s">
        <v>13</v>
      </c>
      <c r="F128" s="6" t="s">
        <v>19</v>
      </c>
      <c r="G128" s="6">
        <v>8</v>
      </c>
      <c r="H128" s="6">
        <v>269</v>
      </c>
      <c r="I128" s="7">
        <v>207.13</v>
      </c>
      <c r="J128" s="6">
        <f>Sales_Data[[#This Row],[Quantity]]*Sales_Data[[#This Row],[Retail Price]]</f>
        <v>2152</v>
      </c>
      <c r="K128" s="6">
        <f>(Sales_Data[[#This Row],[Retail Price]]-Sales_Data[[#This Row],[Cost Price]])*Sales_Data[[#This Row],[Quantity]]</f>
        <v>494.96000000000004</v>
      </c>
    </row>
    <row r="129" spans="1:11" x14ac:dyDescent="0.25">
      <c r="A129" s="5">
        <v>44639</v>
      </c>
      <c r="B129" s="6">
        <v>2022</v>
      </c>
      <c r="C129" s="6">
        <v>3</v>
      </c>
      <c r="D129" s="6" t="s">
        <v>12</v>
      </c>
      <c r="E129" s="6" t="s">
        <v>14</v>
      </c>
      <c r="F129" s="6" t="s">
        <v>20</v>
      </c>
      <c r="G129" s="6">
        <v>5</v>
      </c>
      <c r="H129" s="6">
        <v>362</v>
      </c>
      <c r="I129" s="7">
        <v>271.5</v>
      </c>
      <c r="J129" s="6">
        <f>Sales_Data[[#This Row],[Quantity]]*Sales_Data[[#This Row],[Retail Price]]</f>
        <v>1810</v>
      </c>
      <c r="K129" s="6">
        <f>(Sales_Data[[#This Row],[Retail Price]]-Sales_Data[[#This Row],[Cost Price]])*Sales_Data[[#This Row],[Quantity]]</f>
        <v>452.5</v>
      </c>
    </row>
    <row r="130" spans="1:11" x14ac:dyDescent="0.25">
      <c r="A130" s="5">
        <v>44604</v>
      </c>
      <c r="B130" s="6">
        <v>2022</v>
      </c>
      <c r="C130" s="6">
        <v>2</v>
      </c>
      <c r="D130" s="6" t="s">
        <v>9</v>
      </c>
      <c r="E130" s="6" t="s">
        <v>14</v>
      </c>
      <c r="F130" s="6" t="s">
        <v>17</v>
      </c>
      <c r="G130" s="6">
        <v>14</v>
      </c>
      <c r="H130" s="6">
        <v>1019</v>
      </c>
      <c r="I130" s="7">
        <v>733.68</v>
      </c>
      <c r="J130" s="6">
        <f>Sales_Data[[#This Row],[Quantity]]*Sales_Data[[#This Row],[Retail Price]]</f>
        <v>14266</v>
      </c>
      <c r="K130" s="6">
        <f>(Sales_Data[[#This Row],[Retail Price]]-Sales_Data[[#This Row],[Cost Price]])*Sales_Data[[#This Row],[Quantity]]</f>
        <v>3994.4800000000005</v>
      </c>
    </row>
    <row r="131" spans="1:11" x14ac:dyDescent="0.25">
      <c r="A131" s="5">
        <v>44988</v>
      </c>
      <c r="B131" s="6">
        <v>2023</v>
      </c>
      <c r="C131" s="6">
        <v>3</v>
      </c>
      <c r="D131" s="6" t="s">
        <v>12</v>
      </c>
      <c r="E131" s="6" t="s">
        <v>15</v>
      </c>
      <c r="F131" s="6" t="s">
        <v>16</v>
      </c>
      <c r="G131" s="6">
        <v>8</v>
      </c>
      <c r="H131" s="6">
        <v>1519</v>
      </c>
      <c r="I131" s="7">
        <v>1215.2</v>
      </c>
      <c r="J131" s="6">
        <f>Sales_Data[[#This Row],[Quantity]]*Sales_Data[[#This Row],[Retail Price]]</f>
        <v>12152</v>
      </c>
      <c r="K131" s="6">
        <f>(Sales_Data[[#This Row],[Retail Price]]-Sales_Data[[#This Row],[Cost Price]])*Sales_Data[[#This Row],[Quantity]]</f>
        <v>2430.3999999999996</v>
      </c>
    </row>
    <row r="132" spans="1:11" x14ac:dyDescent="0.25">
      <c r="A132" s="5">
        <v>44973</v>
      </c>
      <c r="B132" s="6">
        <v>2023</v>
      </c>
      <c r="C132" s="6">
        <v>2</v>
      </c>
      <c r="D132" s="6" t="s">
        <v>11</v>
      </c>
      <c r="E132" s="6" t="s">
        <v>15</v>
      </c>
      <c r="F132" s="6" t="s">
        <v>20</v>
      </c>
      <c r="G132" s="6">
        <v>2</v>
      </c>
      <c r="H132" s="6">
        <v>333</v>
      </c>
      <c r="I132" s="7">
        <v>236.43</v>
      </c>
      <c r="J132" s="6">
        <f>Sales_Data[[#This Row],[Quantity]]*Sales_Data[[#This Row],[Retail Price]]</f>
        <v>666</v>
      </c>
      <c r="K132" s="6">
        <f>(Sales_Data[[#This Row],[Retail Price]]-Sales_Data[[#This Row],[Cost Price]])*Sales_Data[[#This Row],[Quantity]]</f>
        <v>193.14</v>
      </c>
    </row>
    <row r="133" spans="1:11" x14ac:dyDescent="0.25">
      <c r="A133" s="5">
        <v>44946</v>
      </c>
      <c r="B133" s="6">
        <v>2023</v>
      </c>
      <c r="C133" s="6">
        <v>1</v>
      </c>
      <c r="D133" s="6" t="s">
        <v>10</v>
      </c>
      <c r="E133" s="6" t="s">
        <v>14</v>
      </c>
      <c r="F133" s="6" t="s">
        <v>19</v>
      </c>
      <c r="G133" s="6">
        <v>1</v>
      </c>
      <c r="H133" s="6">
        <v>1795</v>
      </c>
      <c r="I133" s="7">
        <v>1202.6500000000001</v>
      </c>
      <c r="J133" s="6">
        <f>Sales_Data[[#This Row],[Quantity]]*Sales_Data[[#This Row],[Retail Price]]</f>
        <v>1795</v>
      </c>
      <c r="K133" s="6">
        <f>(Sales_Data[[#This Row],[Retail Price]]-Sales_Data[[#This Row],[Cost Price]])*Sales_Data[[#This Row],[Quantity]]</f>
        <v>592.34999999999991</v>
      </c>
    </row>
    <row r="134" spans="1:11" x14ac:dyDescent="0.25">
      <c r="A134" s="5">
        <v>44571</v>
      </c>
      <c r="B134" s="6">
        <v>2022</v>
      </c>
      <c r="C134" s="6">
        <v>1</v>
      </c>
      <c r="D134" s="6" t="s">
        <v>12</v>
      </c>
      <c r="E134" s="6" t="s">
        <v>15</v>
      </c>
      <c r="F134" s="6" t="s">
        <v>19</v>
      </c>
      <c r="G134" s="6">
        <v>5</v>
      </c>
      <c r="H134" s="6">
        <v>202</v>
      </c>
      <c r="I134" s="7">
        <v>143.41999999999999</v>
      </c>
      <c r="J134" s="6">
        <f>Sales_Data[[#This Row],[Quantity]]*Sales_Data[[#This Row],[Retail Price]]</f>
        <v>1010</v>
      </c>
      <c r="K134" s="6">
        <f>(Sales_Data[[#This Row],[Retail Price]]-Sales_Data[[#This Row],[Cost Price]])*Sales_Data[[#This Row],[Quantity]]</f>
        <v>292.90000000000009</v>
      </c>
    </row>
    <row r="135" spans="1:11" x14ac:dyDescent="0.25">
      <c r="A135" s="5">
        <v>44629</v>
      </c>
      <c r="B135" s="6">
        <v>2022</v>
      </c>
      <c r="C135" s="6">
        <v>3</v>
      </c>
      <c r="D135" s="6" t="s">
        <v>9</v>
      </c>
      <c r="E135" s="6" t="s">
        <v>13</v>
      </c>
      <c r="F135" s="6" t="s">
        <v>17</v>
      </c>
      <c r="G135" s="6">
        <v>18</v>
      </c>
      <c r="H135" s="6">
        <v>916</v>
      </c>
      <c r="I135" s="7">
        <v>650.36</v>
      </c>
      <c r="J135" s="6">
        <f>Sales_Data[[#This Row],[Quantity]]*Sales_Data[[#This Row],[Retail Price]]</f>
        <v>16488</v>
      </c>
      <c r="K135" s="6">
        <f>(Sales_Data[[#This Row],[Retail Price]]-Sales_Data[[#This Row],[Cost Price]])*Sales_Data[[#This Row],[Quantity]]</f>
        <v>4781.5199999999995</v>
      </c>
    </row>
    <row r="136" spans="1:11" x14ac:dyDescent="0.25">
      <c r="A136" s="5">
        <v>44948</v>
      </c>
      <c r="B136" s="6">
        <v>2023</v>
      </c>
      <c r="C136" s="6">
        <v>1</v>
      </c>
      <c r="D136" s="6" t="s">
        <v>11</v>
      </c>
      <c r="E136" s="6" t="s">
        <v>14</v>
      </c>
      <c r="F136" s="6" t="s">
        <v>16</v>
      </c>
      <c r="G136" s="6">
        <v>15</v>
      </c>
      <c r="H136" s="6">
        <v>583</v>
      </c>
      <c r="I136" s="7">
        <v>361.46</v>
      </c>
      <c r="J136" s="6">
        <f>Sales_Data[[#This Row],[Quantity]]*Sales_Data[[#This Row],[Retail Price]]</f>
        <v>8745</v>
      </c>
      <c r="K136" s="6">
        <f>(Sales_Data[[#This Row],[Retail Price]]-Sales_Data[[#This Row],[Cost Price]])*Sales_Data[[#This Row],[Quantity]]</f>
        <v>3323.1000000000004</v>
      </c>
    </row>
    <row r="137" spans="1:11" x14ac:dyDescent="0.25">
      <c r="A137" s="5">
        <v>44631</v>
      </c>
      <c r="B137" s="6">
        <v>2022</v>
      </c>
      <c r="C137" s="6">
        <v>3</v>
      </c>
      <c r="D137" s="6" t="s">
        <v>11</v>
      </c>
      <c r="E137" s="6" t="s">
        <v>13</v>
      </c>
      <c r="F137" s="6" t="s">
        <v>20</v>
      </c>
      <c r="G137" s="6">
        <v>11</v>
      </c>
      <c r="H137" s="6">
        <v>1072</v>
      </c>
      <c r="I137" s="7">
        <v>643.20000000000005</v>
      </c>
      <c r="J137" s="6">
        <f>Sales_Data[[#This Row],[Quantity]]*Sales_Data[[#This Row],[Retail Price]]</f>
        <v>11792</v>
      </c>
      <c r="K137" s="6">
        <f>(Sales_Data[[#This Row],[Retail Price]]-Sales_Data[[#This Row],[Cost Price]])*Sales_Data[[#This Row],[Quantity]]</f>
        <v>4716.7999999999993</v>
      </c>
    </row>
    <row r="138" spans="1:11" x14ac:dyDescent="0.25">
      <c r="A138" s="5">
        <v>44997</v>
      </c>
      <c r="B138" s="6">
        <v>2023</v>
      </c>
      <c r="C138" s="6">
        <v>3</v>
      </c>
      <c r="D138" s="6" t="s">
        <v>12</v>
      </c>
      <c r="E138" s="6" t="s">
        <v>14</v>
      </c>
      <c r="F138" s="6" t="s">
        <v>17</v>
      </c>
      <c r="G138" s="6">
        <v>7</v>
      </c>
      <c r="H138" s="6">
        <v>1025</v>
      </c>
      <c r="I138" s="7">
        <v>768.75</v>
      </c>
      <c r="J138" s="6">
        <f>Sales_Data[[#This Row],[Quantity]]*Sales_Data[[#This Row],[Retail Price]]</f>
        <v>7175</v>
      </c>
      <c r="K138" s="6">
        <f>(Sales_Data[[#This Row],[Retail Price]]-Sales_Data[[#This Row],[Cost Price]])*Sales_Data[[#This Row],[Quantity]]</f>
        <v>1793.75</v>
      </c>
    </row>
    <row r="139" spans="1:11" x14ac:dyDescent="0.25">
      <c r="A139" s="5">
        <v>44951</v>
      </c>
      <c r="B139" s="6">
        <v>2023</v>
      </c>
      <c r="C139" s="6">
        <v>1</v>
      </c>
      <c r="D139" s="6" t="s">
        <v>10</v>
      </c>
      <c r="E139" s="6" t="s">
        <v>13</v>
      </c>
      <c r="F139" s="6" t="s">
        <v>17</v>
      </c>
      <c r="G139" s="6">
        <v>6</v>
      </c>
      <c r="H139" s="6">
        <v>1286</v>
      </c>
      <c r="I139" s="7">
        <v>887.34</v>
      </c>
      <c r="J139" s="6">
        <f>Sales_Data[[#This Row],[Quantity]]*Sales_Data[[#This Row],[Retail Price]]</f>
        <v>7716</v>
      </c>
      <c r="K139" s="6">
        <f>(Sales_Data[[#This Row],[Retail Price]]-Sales_Data[[#This Row],[Cost Price]])*Sales_Data[[#This Row],[Quantity]]</f>
        <v>2391.96</v>
      </c>
    </row>
    <row r="140" spans="1:11" x14ac:dyDescent="0.25">
      <c r="A140" s="5">
        <v>44596</v>
      </c>
      <c r="B140" s="6">
        <v>2022</v>
      </c>
      <c r="C140" s="6">
        <v>2</v>
      </c>
      <c r="D140" s="6" t="s">
        <v>12</v>
      </c>
      <c r="E140" s="6" t="s">
        <v>13</v>
      </c>
      <c r="F140" s="6" t="s">
        <v>17</v>
      </c>
      <c r="G140" s="6">
        <v>11</v>
      </c>
      <c r="H140" s="6">
        <v>473</v>
      </c>
      <c r="I140" s="7">
        <v>368.94</v>
      </c>
      <c r="J140" s="6">
        <f>Sales_Data[[#This Row],[Quantity]]*Sales_Data[[#This Row],[Retail Price]]</f>
        <v>5203</v>
      </c>
      <c r="K140" s="6">
        <f>(Sales_Data[[#This Row],[Retail Price]]-Sales_Data[[#This Row],[Cost Price]])*Sales_Data[[#This Row],[Quantity]]</f>
        <v>1144.6600000000001</v>
      </c>
    </row>
    <row r="141" spans="1:11" x14ac:dyDescent="0.25">
      <c r="A141" s="5">
        <v>44618</v>
      </c>
      <c r="B141" s="6">
        <v>2022</v>
      </c>
      <c r="C141" s="6">
        <v>2</v>
      </c>
      <c r="D141" s="6" t="s">
        <v>12</v>
      </c>
      <c r="E141" s="6" t="s">
        <v>15</v>
      </c>
      <c r="F141" s="6" t="s">
        <v>16</v>
      </c>
      <c r="G141" s="6">
        <v>6</v>
      </c>
      <c r="H141" s="6">
        <v>1071</v>
      </c>
      <c r="I141" s="7">
        <v>749.7</v>
      </c>
      <c r="J141" s="6">
        <f>Sales_Data[[#This Row],[Quantity]]*Sales_Data[[#This Row],[Retail Price]]</f>
        <v>6426</v>
      </c>
      <c r="K141" s="6">
        <f>(Sales_Data[[#This Row],[Retail Price]]-Sales_Data[[#This Row],[Cost Price]])*Sales_Data[[#This Row],[Quantity]]</f>
        <v>1927.7999999999997</v>
      </c>
    </row>
    <row r="142" spans="1:11" x14ac:dyDescent="0.25">
      <c r="A142" s="5">
        <v>44588</v>
      </c>
      <c r="B142" s="6">
        <v>2022</v>
      </c>
      <c r="C142" s="6">
        <v>1</v>
      </c>
      <c r="D142" s="6" t="s">
        <v>11</v>
      </c>
      <c r="E142" s="6" t="s">
        <v>15</v>
      </c>
      <c r="F142" s="6" t="s">
        <v>16</v>
      </c>
      <c r="G142" s="6">
        <v>8</v>
      </c>
      <c r="H142" s="6">
        <v>186</v>
      </c>
      <c r="I142" s="7">
        <v>128.34</v>
      </c>
      <c r="J142" s="6">
        <f>Sales_Data[[#This Row],[Quantity]]*Sales_Data[[#This Row],[Retail Price]]</f>
        <v>1488</v>
      </c>
      <c r="K142" s="6">
        <f>(Sales_Data[[#This Row],[Retail Price]]-Sales_Data[[#This Row],[Cost Price]])*Sales_Data[[#This Row],[Quantity]]</f>
        <v>461.28</v>
      </c>
    </row>
    <row r="143" spans="1:11" x14ac:dyDescent="0.25">
      <c r="A143" s="5">
        <v>44998</v>
      </c>
      <c r="B143" s="6">
        <v>2023</v>
      </c>
      <c r="C143" s="6">
        <v>3</v>
      </c>
      <c r="D143" s="6" t="s">
        <v>11</v>
      </c>
      <c r="E143" s="6" t="s">
        <v>14</v>
      </c>
      <c r="F143" s="6" t="s">
        <v>18</v>
      </c>
      <c r="G143" s="6">
        <v>10</v>
      </c>
      <c r="H143" s="6">
        <v>1114</v>
      </c>
      <c r="I143" s="7">
        <v>690.68</v>
      </c>
      <c r="J143" s="6">
        <f>Sales_Data[[#This Row],[Quantity]]*Sales_Data[[#This Row],[Retail Price]]</f>
        <v>11140</v>
      </c>
      <c r="K143" s="6">
        <f>(Sales_Data[[#This Row],[Retail Price]]-Sales_Data[[#This Row],[Cost Price]])*Sales_Data[[#This Row],[Quantity]]</f>
        <v>4233.2000000000007</v>
      </c>
    </row>
    <row r="144" spans="1:11" x14ac:dyDescent="0.25">
      <c r="A144" s="5">
        <v>44610</v>
      </c>
      <c r="B144" s="6">
        <v>2022</v>
      </c>
      <c r="C144" s="6">
        <v>2</v>
      </c>
      <c r="D144" s="6" t="s">
        <v>12</v>
      </c>
      <c r="E144" s="6" t="s">
        <v>15</v>
      </c>
      <c r="F144" s="6" t="s">
        <v>19</v>
      </c>
      <c r="G144" s="6">
        <v>19</v>
      </c>
      <c r="H144" s="6">
        <v>1962</v>
      </c>
      <c r="I144" s="7">
        <v>1334.16</v>
      </c>
      <c r="J144" s="6">
        <f>Sales_Data[[#This Row],[Quantity]]*Sales_Data[[#This Row],[Retail Price]]</f>
        <v>37278</v>
      </c>
      <c r="K144" s="6">
        <f>(Sales_Data[[#This Row],[Retail Price]]-Sales_Data[[#This Row],[Cost Price]])*Sales_Data[[#This Row],[Quantity]]</f>
        <v>11928.96</v>
      </c>
    </row>
    <row r="145" spans="1:11" x14ac:dyDescent="0.25">
      <c r="A145" s="5">
        <v>44936</v>
      </c>
      <c r="B145" s="6">
        <v>2023</v>
      </c>
      <c r="C145" s="6">
        <v>1</v>
      </c>
      <c r="D145" s="6" t="s">
        <v>11</v>
      </c>
      <c r="E145" s="6" t="s">
        <v>13</v>
      </c>
      <c r="F145" s="6" t="s">
        <v>17</v>
      </c>
      <c r="G145" s="6">
        <v>15</v>
      </c>
      <c r="H145" s="6">
        <v>797</v>
      </c>
      <c r="I145" s="7">
        <v>541.96</v>
      </c>
      <c r="J145" s="6">
        <f>Sales_Data[[#This Row],[Quantity]]*Sales_Data[[#This Row],[Retail Price]]</f>
        <v>11955</v>
      </c>
      <c r="K145" s="6">
        <f>(Sales_Data[[#This Row],[Retail Price]]-Sales_Data[[#This Row],[Cost Price]])*Sales_Data[[#This Row],[Quantity]]</f>
        <v>3825.5999999999995</v>
      </c>
    </row>
    <row r="146" spans="1:11" x14ac:dyDescent="0.25">
      <c r="A146" s="5">
        <v>44625</v>
      </c>
      <c r="B146" s="6">
        <v>2022</v>
      </c>
      <c r="C146" s="6">
        <v>3</v>
      </c>
      <c r="D146" s="6" t="s">
        <v>10</v>
      </c>
      <c r="E146" s="6" t="s">
        <v>13</v>
      </c>
      <c r="F146" s="6" t="s">
        <v>20</v>
      </c>
      <c r="G146" s="6">
        <v>20</v>
      </c>
      <c r="H146" s="6">
        <v>938</v>
      </c>
      <c r="I146" s="7">
        <v>656.6</v>
      </c>
      <c r="J146" s="6">
        <f>Sales_Data[[#This Row],[Quantity]]*Sales_Data[[#This Row],[Retail Price]]</f>
        <v>18760</v>
      </c>
      <c r="K146" s="6">
        <f>(Sales_Data[[#This Row],[Retail Price]]-Sales_Data[[#This Row],[Cost Price]])*Sales_Data[[#This Row],[Quantity]]</f>
        <v>5628</v>
      </c>
    </row>
    <row r="147" spans="1:11" x14ac:dyDescent="0.25">
      <c r="A147" s="5">
        <v>44617</v>
      </c>
      <c r="B147" s="6">
        <v>2022</v>
      </c>
      <c r="C147" s="6">
        <v>2</v>
      </c>
      <c r="D147" s="6" t="s">
        <v>10</v>
      </c>
      <c r="E147" s="6" t="s">
        <v>13</v>
      </c>
      <c r="F147" s="6" t="s">
        <v>16</v>
      </c>
      <c r="G147" s="6">
        <v>10</v>
      </c>
      <c r="H147" s="6">
        <v>1489</v>
      </c>
      <c r="I147" s="7">
        <v>1101.8599999999999</v>
      </c>
      <c r="J147" s="6">
        <f>Sales_Data[[#This Row],[Quantity]]*Sales_Data[[#This Row],[Retail Price]]</f>
        <v>14890</v>
      </c>
      <c r="K147" s="6">
        <f>(Sales_Data[[#This Row],[Retail Price]]-Sales_Data[[#This Row],[Cost Price]])*Sales_Data[[#This Row],[Quantity]]</f>
        <v>3871.400000000001</v>
      </c>
    </row>
    <row r="148" spans="1:11" x14ac:dyDescent="0.25">
      <c r="A148" s="5">
        <v>44564</v>
      </c>
      <c r="B148" s="6">
        <v>2022</v>
      </c>
      <c r="C148" s="6">
        <v>1</v>
      </c>
      <c r="D148" s="6" t="s">
        <v>10</v>
      </c>
      <c r="E148" s="6" t="s">
        <v>14</v>
      </c>
      <c r="F148" s="6" t="s">
        <v>19</v>
      </c>
      <c r="G148" s="6">
        <v>14</v>
      </c>
      <c r="H148" s="6">
        <v>1730</v>
      </c>
      <c r="I148" s="7">
        <v>1176.4000000000001</v>
      </c>
      <c r="J148" s="6">
        <f>Sales_Data[[#This Row],[Quantity]]*Sales_Data[[#This Row],[Retail Price]]</f>
        <v>24220</v>
      </c>
      <c r="K148" s="6">
        <f>(Sales_Data[[#This Row],[Retail Price]]-Sales_Data[[#This Row],[Cost Price]])*Sales_Data[[#This Row],[Quantity]]</f>
        <v>7750.3999999999987</v>
      </c>
    </row>
    <row r="149" spans="1:11" x14ac:dyDescent="0.25">
      <c r="A149" s="5">
        <v>44643</v>
      </c>
      <c r="B149" s="6">
        <v>2022</v>
      </c>
      <c r="C149" s="6">
        <v>3</v>
      </c>
      <c r="D149" s="6" t="s">
        <v>9</v>
      </c>
      <c r="E149" s="6" t="s">
        <v>13</v>
      </c>
      <c r="F149" s="6" t="s">
        <v>16</v>
      </c>
      <c r="G149" s="6">
        <v>1</v>
      </c>
      <c r="H149" s="6">
        <v>1861</v>
      </c>
      <c r="I149" s="7">
        <v>1209.6500000000001</v>
      </c>
      <c r="J149" s="6">
        <f>Sales_Data[[#This Row],[Quantity]]*Sales_Data[[#This Row],[Retail Price]]</f>
        <v>1861</v>
      </c>
      <c r="K149" s="6">
        <f>(Sales_Data[[#This Row],[Retail Price]]-Sales_Data[[#This Row],[Cost Price]])*Sales_Data[[#This Row],[Quantity]]</f>
        <v>651.34999999999991</v>
      </c>
    </row>
    <row r="150" spans="1:11" x14ac:dyDescent="0.25">
      <c r="A150" s="5">
        <v>44579</v>
      </c>
      <c r="B150" s="6">
        <v>2022</v>
      </c>
      <c r="C150" s="6">
        <v>1</v>
      </c>
      <c r="D150" s="6" t="s">
        <v>9</v>
      </c>
      <c r="E150" s="6" t="s">
        <v>14</v>
      </c>
      <c r="F150" s="6" t="s">
        <v>20</v>
      </c>
      <c r="G150" s="6">
        <v>9</v>
      </c>
      <c r="H150" s="6">
        <v>567</v>
      </c>
      <c r="I150" s="7">
        <v>408.24</v>
      </c>
      <c r="J150" s="6">
        <f>Sales_Data[[#This Row],[Quantity]]*Sales_Data[[#This Row],[Retail Price]]</f>
        <v>5103</v>
      </c>
      <c r="K150" s="6">
        <f>(Sales_Data[[#This Row],[Retail Price]]-Sales_Data[[#This Row],[Cost Price]])*Sales_Data[[#This Row],[Quantity]]</f>
        <v>1428.84</v>
      </c>
    </row>
    <row r="151" spans="1:11" x14ac:dyDescent="0.25">
      <c r="A151" s="5">
        <v>44622</v>
      </c>
      <c r="B151" s="6">
        <v>2022</v>
      </c>
      <c r="C151" s="6">
        <v>3</v>
      </c>
      <c r="D151" s="6" t="s">
        <v>10</v>
      </c>
      <c r="E151" s="6" t="s">
        <v>14</v>
      </c>
      <c r="F151" s="6" t="s">
        <v>17</v>
      </c>
      <c r="G151" s="6">
        <v>17</v>
      </c>
      <c r="H151" s="6">
        <v>1695</v>
      </c>
      <c r="I151" s="7">
        <v>1186.5</v>
      </c>
      <c r="J151" s="6">
        <f>Sales_Data[[#This Row],[Quantity]]*Sales_Data[[#This Row],[Retail Price]]</f>
        <v>28815</v>
      </c>
      <c r="K151" s="6">
        <f>(Sales_Data[[#This Row],[Retail Price]]-Sales_Data[[#This Row],[Cost Price]])*Sales_Data[[#This Row],[Quantity]]</f>
        <v>8644.5</v>
      </c>
    </row>
    <row r="152" spans="1:11" x14ac:dyDescent="0.25">
      <c r="A152" s="5">
        <v>44995</v>
      </c>
      <c r="B152" s="6">
        <v>2023</v>
      </c>
      <c r="C152" s="6">
        <v>3</v>
      </c>
      <c r="D152" s="6" t="s">
        <v>12</v>
      </c>
      <c r="E152" s="6" t="s">
        <v>14</v>
      </c>
      <c r="F152" s="6" t="s">
        <v>19</v>
      </c>
      <c r="G152" s="6">
        <v>9</v>
      </c>
      <c r="H152" s="6">
        <v>1952</v>
      </c>
      <c r="I152" s="7">
        <v>1385.92</v>
      </c>
      <c r="J152" s="6">
        <f>Sales_Data[[#This Row],[Quantity]]*Sales_Data[[#This Row],[Retail Price]]</f>
        <v>17568</v>
      </c>
      <c r="K152" s="6">
        <f>(Sales_Data[[#This Row],[Retail Price]]-Sales_Data[[#This Row],[Cost Price]])*Sales_Data[[#This Row],[Quantity]]</f>
        <v>5094.7199999999993</v>
      </c>
    </row>
    <row r="153" spans="1:11" x14ac:dyDescent="0.25">
      <c r="A153" s="5">
        <v>44574</v>
      </c>
      <c r="B153" s="6">
        <v>2022</v>
      </c>
      <c r="C153" s="6">
        <v>1</v>
      </c>
      <c r="D153" s="6" t="s">
        <v>9</v>
      </c>
      <c r="E153" s="6" t="s">
        <v>13</v>
      </c>
      <c r="F153" s="6" t="s">
        <v>19</v>
      </c>
      <c r="G153" s="6">
        <v>2</v>
      </c>
      <c r="H153" s="6">
        <v>892</v>
      </c>
      <c r="I153" s="7">
        <v>597.64</v>
      </c>
      <c r="J153" s="6">
        <f>Sales_Data[[#This Row],[Quantity]]*Sales_Data[[#This Row],[Retail Price]]</f>
        <v>1784</v>
      </c>
      <c r="K153" s="6">
        <f>(Sales_Data[[#This Row],[Retail Price]]-Sales_Data[[#This Row],[Cost Price]])*Sales_Data[[#This Row],[Quantity]]</f>
        <v>588.72</v>
      </c>
    </row>
    <row r="154" spans="1:11" x14ac:dyDescent="0.25">
      <c r="A154" s="5">
        <v>44936</v>
      </c>
      <c r="B154" s="6">
        <v>2023</v>
      </c>
      <c r="C154" s="6">
        <v>1</v>
      </c>
      <c r="D154" s="6" t="s">
        <v>11</v>
      </c>
      <c r="E154" s="6" t="s">
        <v>14</v>
      </c>
      <c r="F154" s="6" t="s">
        <v>16</v>
      </c>
      <c r="G154" s="6">
        <v>19</v>
      </c>
      <c r="H154" s="6">
        <v>1193</v>
      </c>
      <c r="I154" s="7">
        <v>823.17</v>
      </c>
      <c r="J154" s="6">
        <f>Sales_Data[[#This Row],[Quantity]]*Sales_Data[[#This Row],[Retail Price]]</f>
        <v>22667</v>
      </c>
      <c r="K154" s="6">
        <f>(Sales_Data[[#This Row],[Retail Price]]-Sales_Data[[#This Row],[Cost Price]])*Sales_Data[[#This Row],[Quantity]]</f>
        <v>7026.77</v>
      </c>
    </row>
    <row r="155" spans="1:11" x14ac:dyDescent="0.25">
      <c r="A155" s="5">
        <v>44578</v>
      </c>
      <c r="B155" s="6">
        <v>2022</v>
      </c>
      <c r="C155" s="6">
        <v>1</v>
      </c>
      <c r="D155" s="6" t="s">
        <v>10</v>
      </c>
      <c r="E155" s="6" t="s">
        <v>13</v>
      </c>
      <c r="F155" s="6" t="s">
        <v>16</v>
      </c>
      <c r="G155" s="6">
        <v>6</v>
      </c>
      <c r="H155" s="6">
        <v>1743</v>
      </c>
      <c r="I155" s="7">
        <v>1359.54</v>
      </c>
      <c r="J155" s="6">
        <f>Sales_Data[[#This Row],[Quantity]]*Sales_Data[[#This Row],[Retail Price]]</f>
        <v>10458</v>
      </c>
      <c r="K155" s="6">
        <f>(Sales_Data[[#This Row],[Retail Price]]-Sales_Data[[#This Row],[Cost Price]])*Sales_Data[[#This Row],[Quantity]]</f>
        <v>2300.7600000000002</v>
      </c>
    </row>
    <row r="156" spans="1:11" x14ac:dyDescent="0.25">
      <c r="A156" s="5">
        <v>44624</v>
      </c>
      <c r="B156" s="6">
        <v>2022</v>
      </c>
      <c r="C156" s="6">
        <v>3</v>
      </c>
      <c r="D156" s="6" t="s">
        <v>11</v>
      </c>
      <c r="E156" s="6" t="s">
        <v>14</v>
      </c>
      <c r="F156" s="6" t="s">
        <v>18</v>
      </c>
      <c r="G156" s="6">
        <v>18</v>
      </c>
      <c r="H156" s="6">
        <v>254</v>
      </c>
      <c r="I156" s="7">
        <v>162.56</v>
      </c>
      <c r="J156" s="6">
        <f>Sales_Data[[#This Row],[Quantity]]*Sales_Data[[#This Row],[Retail Price]]</f>
        <v>4572</v>
      </c>
      <c r="K156" s="6">
        <f>(Sales_Data[[#This Row],[Retail Price]]-Sales_Data[[#This Row],[Cost Price]])*Sales_Data[[#This Row],[Quantity]]</f>
        <v>1645.92</v>
      </c>
    </row>
    <row r="157" spans="1:11" x14ac:dyDescent="0.25">
      <c r="A157" s="5">
        <v>44631</v>
      </c>
      <c r="B157" s="6">
        <v>2022</v>
      </c>
      <c r="C157" s="6">
        <v>3</v>
      </c>
      <c r="D157" s="6" t="s">
        <v>9</v>
      </c>
      <c r="E157" s="6" t="s">
        <v>14</v>
      </c>
      <c r="F157" s="6" t="s">
        <v>20</v>
      </c>
      <c r="G157" s="6">
        <v>8</v>
      </c>
      <c r="H157" s="6">
        <v>672</v>
      </c>
      <c r="I157" s="7">
        <v>409.92</v>
      </c>
      <c r="J157" s="6">
        <f>Sales_Data[[#This Row],[Quantity]]*Sales_Data[[#This Row],[Retail Price]]</f>
        <v>5376</v>
      </c>
      <c r="K157" s="6">
        <f>(Sales_Data[[#This Row],[Retail Price]]-Sales_Data[[#This Row],[Cost Price]])*Sales_Data[[#This Row],[Quantity]]</f>
        <v>2096.64</v>
      </c>
    </row>
    <row r="158" spans="1:11" x14ac:dyDescent="0.25">
      <c r="A158" s="5">
        <v>44630</v>
      </c>
      <c r="B158" s="6">
        <v>2022</v>
      </c>
      <c r="C158" s="6">
        <v>3</v>
      </c>
      <c r="D158" s="6" t="s">
        <v>9</v>
      </c>
      <c r="E158" s="6" t="s">
        <v>14</v>
      </c>
      <c r="F158" s="6" t="s">
        <v>19</v>
      </c>
      <c r="G158" s="6">
        <v>7</v>
      </c>
      <c r="H158" s="6">
        <v>1023</v>
      </c>
      <c r="I158" s="7">
        <v>695.64</v>
      </c>
      <c r="J158" s="6">
        <f>Sales_Data[[#This Row],[Quantity]]*Sales_Data[[#This Row],[Retail Price]]</f>
        <v>7161</v>
      </c>
      <c r="K158" s="6">
        <f>(Sales_Data[[#This Row],[Retail Price]]-Sales_Data[[#This Row],[Cost Price]])*Sales_Data[[#This Row],[Quantity]]</f>
        <v>2291.52</v>
      </c>
    </row>
    <row r="159" spans="1:11" x14ac:dyDescent="0.25">
      <c r="A159" s="5">
        <v>44584</v>
      </c>
      <c r="B159" s="6">
        <v>2022</v>
      </c>
      <c r="C159" s="6">
        <v>1</v>
      </c>
      <c r="D159" s="6" t="s">
        <v>11</v>
      </c>
      <c r="E159" s="6" t="s">
        <v>15</v>
      </c>
      <c r="F159" s="6" t="s">
        <v>18</v>
      </c>
      <c r="G159" s="6">
        <v>8</v>
      </c>
      <c r="H159" s="6">
        <v>1679</v>
      </c>
      <c r="I159" s="7">
        <v>1141.72</v>
      </c>
      <c r="J159" s="6">
        <f>Sales_Data[[#This Row],[Quantity]]*Sales_Data[[#This Row],[Retail Price]]</f>
        <v>13432</v>
      </c>
      <c r="K159" s="6">
        <f>(Sales_Data[[#This Row],[Retail Price]]-Sales_Data[[#This Row],[Cost Price]])*Sales_Data[[#This Row],[Quantity]]</f>
        <v>4298.24</v>
      </c>
    </row>
    <row r="160" spans="1:11" x14ac:dyDescent="0.25">
      <c r="A160" s="5">
        <v>44580</v>
      </c>
      <c r="B160" s="6">
        <v>2022</v>
      </c>
      <c r="C160" s="6">
        <v>1</v>
      </c>
      <c r="D160" s="6" t="s">
        <v>10</v>
      </c>
      <c r="E160" s="6" t="s">
        <v>14</v>
      </c>
      <c r="F160" s="6" t="s">
        <v>18</v>
      </c>
      <c r="G160" s="6">
        <v>19</v>
      </c>
      <c r="H160" s="6">
        <v>1940</v>
      </c>
      <c r="I160" s="7">
        <v>1222.2</v>
      </c>
      <c r="J160" s="6">
        <f>Sales_Data[[#This Row],[Quantity]]*Sales_Data[[#This Row],[Retail Price]]</f>
        <v>36860</v>
      </c>
      <c r="K160" s="6">
        <f>(Sales_Data[[#This Row],[Retail Price]]-Sales_Data[[#This Row],[Cost Price]])*Sales_Data[[#This Row],[Quantity]]</f>
        <v>13638.199999999999</v>
      </c>
    </row>
    <row r="161" spans="1:11" x14ac:dyDescent="0.25">
      <c r="A161" s="5">
        <v>44611</v>
      </c>
      <c r="B161" s="6">
        <v>2022</v>
      </c>
      <c r="C161" s="6">
        <v>2</v>
      </c>
      <c r="D161" s="6" t="s">
        <v>12</v>
      </c>
      <c r="E161" s="6" t="s">
        <v>13</v>
      </c>
      <c r="F161" s="6" t="s">
        <v>17</v>
      </c>
      <c r="G161" s="6">
        <v>5</v>
      </c>
      <c r="H161" s="6">
        <v>108</v>
      </c>
      <c r="I161" s="7">
        <v>82.08</v>
      </c>
      <c r="J161" s="6">
        <f>Sales_Data[[#This Row],[Quantity]]*Sales_Data[[#This Row],[Retail Price]]</f>
        <v>540</v>
      </c>
      <c r="K161" s="6">
        <f>(Sales_Data[[#This Row],[Retail Price]]-Sales_Data[[#This Row],[Cost Price]])*Sales_Data[[#This Row],[Quantity]]</f>
        <v>129.60000000000002</v>
      </c>
    </row>
    <row r="162" spans="1:11" x14ac:dyDescent="0.25">
      <c r="A162" s="5">
        <v>44996</v>
      </c>
      <c r="B162" s="6">
        <v>2023</v>
      </c>
      <c r="C162" s="6">
        <v>3</v>
      </c>
      <c r="D162" s="6" t="s">
        <v>12</v>
      </c>
      <c r="E162" s="6" t="s">
        <v>13</v>
      </c>
      <c r="F162" s="6" t="s">
        <v>17</v>
      </c>
      <c r="G162" s="6">
        <v>10</v>
      </c>
      <c r="H162" s="6">
        <v>847</v>
      </c>
      <c r="I162" s="7">
        <v>601.37</v>
      </c>
      <c r="J162" s="6">
        <f>Sales_Data[[#This Row],[Quantity]]*Sales_Data[[#This Row],[Retail Price]]</f>
        <v>8470</v>
      </c>
      <c r="K162" s="6">
        <f>(Sales_Data[[#This Row],[Retail Price]]-Sales_Data[[#This Row],[Cost Price]])*Sales_Data[[#This Row],[Quantity]]</f>
        <v>2456.3000000000002</v>
      </c>
    </row>
    <row r="163" spans="1:11" x14ac:dyDescent="0.25">
      <c r="A163" s="5">
        <v>44976</v>
      </c>
      <c r="B163" s="6">
        <v>2023</v>
      </c>
      <c r="C163" s="6">
        <v>2</v>
      </c>
      <c r="D163" s="6" t="s">
        <v>10</v>
      </c>
      <c r="E163" s="6" t="s">
        <v>15</v>
      </c>
      <c r="F163" s="6" t="s">
        <v>18</v>
      </c>
      <c r="G163" s="6">
        <v>14</v>
      </c>
      <c r="H163" s="6">
        <v>291</v>
      </c>
      <c r="I163" s="7">
        <v>212.43</v>
      </c>
      <c r="J163" s="6">
        <f>Sales_Data[[#This Row],[Quantity]]*Sales_Data[[#This Row],[Retail Price]]</f>
        <v>4074</v>
      </c>
      <c r="K163" s="6">
        <f>(Sales_Data[[#This Row],[Retail Price]]-Sales_Data[[#This Row],[Cost Price]])*Sales_Data[[#This Row],[Quantity]]</f>
        <v>1099.98</v>
      </c>
    </row>
    <row r="164" spans="1:11" x14ac:dyDescent="0.25">
      <c r="A164" s="5">
        <v>44570</v>
      </c>
      <c r="B164" s="6">
        <v>2022</v>
      </c>
      <c r="C164" s="6">
        <v>1</v>
      </c>
      <c r="D164" s="6" t="s">
        <v>10</v>
      </c>
      <c r="E164" s="6" t="s">
        <v>14</v>
      </c>
      <c r="F164" s="6" t="s">
        <v>19</v>
      </c>
      <c r="G164" s="6">
        <v>19</v>
      </c>
      <c r="H164" s="6">
        <v>1064</v>
      </c>
      <c r="I164" s="7">
        <v>702.24</v>
      </c>
      <c r="J164" s="6">
        <f>Sales_Data[[#This Row],[Quantity]]*Sales_Data[[#This Row],[Retail Price]]</f>
        <v>20216</v>
      </c>
      <c r="K164" s="6">
        <f>(Sales_Data[[#This Row],[Retail Price]]-Sales_Data[[#This Row],[Cost Price]])*Sales_Data[[#This Row],[Quantity]]</f>
        <v>6873.44</v>
      </c>
    </row>
    <row r="165" spans="1:11" x14ac:dyDescent="0.25">
      <c r="A165" s="5">
        <v>44936</v>
      </c>
      <c r="B165" s="6">
        <v>2023</v>
      </c>
      <c r="C165" s="6">
        <v>1</v>
      </c>
      <c r="D165" s="6" t="s">
        <v>10</v>
      </c>
      <c r="E165" s="6" t="s">
        <v>15</v>
      </c>
      <c r="F165" s="6" t="s">
        <v>19</v>
      </c>
      <c r="G165" s="6">
        <v>4</v>
      </c>
      <c r="H165" s="6">
        <v>1401</v>
      </c>
      <c r="I165" s="7">
        <v>966.69</v>
      </c>
      <c r="J165" s="6">
        <f>Sales_Data[[#This Row],[Quantity]]*Sales_Data[[#This Row],[Retail Price]]</f>
        <v>5604</v>
      </c>
      <c r="K165" s="6">
        <f>(Sales_Data[[#This Row],[Retail Price]]-Sales_Data[[#This Row],[Cost Price]])*Sales_Data[[#This Row],[Quantity]]</f>
        <v>1737.2399999999998</v>
      </c>
    </row>
    <row r="166" spans="1:11" x14ac:dyDescent="0.25">
      <c r="A166" s="5">
        <v>44622</v>
      </c>
      <c r="B166" s="6">
        <v>2022</v>
      </c>
      <c r="C166" s="6">
        <v>3</v>
      </c>
      <c r="D166" s="6" t="s">
        <v>11</v>
      </c>
      <c r="E166" s="6" t="s">
        <v>15</v>
      </c>
      <c r="F166" s="6" t="s">
        <v>18</v>
      </c>
      <c r="G166" s="6">
        <v>16</v>
      </c>
      <c r="H166" s="6">
        <v>332</v>
      </c>
      <c r="I166" s="7">
        <v>215.8</v>
      </c>
      <c r="J166" s="6">
        <f>Sales_Data[[#This Row],[Quantity]]*Sales_Data[[#This Row],[Retail Price]]</f>
        <v>5312</v>
      </c>
      <c r="K166" s="6">
        <f>(Sales_Data[[#This Row],[Retail Price]]-Sales_Data[[#This Row],[Cost Price]])*Sales_Data[[#This Row],[Quantity]]</f>
        <v>1859.1999999999998</v>
      </c>
    </row>
    <row r="167" spans="1:11" x14ac:dyDescent="0.25">
      <c r="A167" s="5">
        <v>44948</v>
      </c>
      <c r="B167" s="6">
        <v>2023</v>
      </c>
      <c r="C167" s="6">
        <v>1</v>
      </c>
      <c r="D167" s="6" t="s">
        <v>9</v>
      </c>
      <c r="E167" s="6" t="s">
        <v>15</v>
      </c>
      <c r="F167" s="6" t="s">
        <v>20</v>
      </c>
      <c r="G167" s="6">
        <v>5</v>
      </c>
      <c r="H167" s="6">
        <v>1486</v>
      </c>
      <c r="I167" s="7">
        <v>1099.6400000000001</v>
      </c>
      <c r="J167" s="6">
        <f>Sales_Data[[#This Row],[Quantity]]*Sales_Data[[#This Row],[Retail Price]]</f>
        <v>7430</v>
      </c>
      <c r="K167" s="6">
        <f>(Sales_Data[[#This Row],[Retail Price]]-Sales_Data[[#This Row],[Cost Price]])*Sales_Data[[#This Row],[Quantity]]</f>
        <v>1931.7999999999995</v>
      </c>
    </row>
    <row r="168" spans="1:11" x14ac:dyDescent="0.25">
      <c r="A168" s="5">
        <v>45008</v>
      </c>
      <c r="B168" s="6">
        <v>2023</v>
      </c>
      <c r="C168" s="6">
        <v>3</v>
      </c>
      <c r="D168" s="6" t="s">
        <v>11</v>
      </c>
      <c r="E168" s="6" t="s">
        <v>15</v>
      </c>
      <c r="F168" s="6" t="s">
        <v>18</v>
      </c>
      <c r="G168" s="6">
        <v>13</v>
      </c>
      <c r="H168" s="6">
        <v>1450</v>
      </c>
      <c r="I168" s="7">
        <v>1000.5</v>
      </c>
      <c r="J168" s="6">
        <f>Sales_Data[[#This Row],[Quantity]]*Sales_Data[[#This Row],[Retail Price]]</f>
        <v>18850</v>
      </c>
      <c r="K168" s="6">
        <f>(Sales_Data[[#This Row],[Retail Price]]-Sales_Data[[#This Row],[Cost Price]])*Sales_Data[[#This Row],[Quantity]]</f>
        <v>5843.5</v>
      </c>
    </row>
    <row r="169" spans="1:11" x14ac:dyDescent="0.25">
      <c r="A169" s="5">
        <v>44969</v>
      </c>
      <c r="B169" s="6">
        <v>2023</v>
      </c>
      <c r="C169" s="6">
        <v>2</v>
      </c>
      <c r="D169" s="6" t="s">
        <v>12</v>
      </c>
      <c r="E169" s="6" t="s">
        <v>13</v>
      </c>
      <c r="F169" s="6" t="s">
        <v>16</v>
      </c>
      <c r="G169" s="6">
        <v>12</v>
      </c>
      <c r="H169" s="6">
        <v>826</v>
      </c>
      <c r="I169" s="7">
        <v>619.5</v>
      </c>
      <c r="J169" s="6">
        <f>Sales_Data[[#This Row],[Quantity]]*Sales_Data[[#This Row],[Retail Price]]</f>
        <v>9912</v>
      </c>
      <c r="K169" s="6">
        <f>(Sales_Data[[#This Row],[Retail Price]]-Sales_Data[[#This Row],[Cost Price]])*Sales_Data[[#This Row],[Quantity]]</f>
        <v>2478</v>
      </c>
    </row>
    <row r="170" spans="1:11" x14ac:dyDescent="0.25">
      <c r="A170" s="5">
        <v>44936</v>
      </c>
      <c r="B170" s="6">
        <v>2023</v>
      </c>
      <c r="C170" s="6">
        <v>1</v>
      </c>
      <c r="D170" s="6" t="s">
        <v>12</v>
      </c>
      <c r="E170" s="6" t="s">
        <v>14</v>
      </c>
      <c r="F170" s="6" t="s">
        <v>16</v>
      </c>
      <c r="G170" s="6">
        <v>16</v>
      </c>
      <c r="H170" s="6">
        <v>1261</v>
      </c>
      <c r="I170" s="7">
        <v>807.04</v>
      </c>
      <c r="J170" s="6">
        <f>Sales_Data[[#This Row],[Quantity]]*Sales_Data[[#This Row],[Retail Price]]</f>
        <v>20176</v>
      </c>
      <c r="K170" s="6">
        <f>(Sales_Data[[#This Row],[Retail Price]]-Sales_Data[[#This Row],[Cost Price]])*Sales_Data[[#This Row],[Quantity]]</f>
        <v>7263.3600000000006</v>
      </c>
    </row>
    <row r="171" spans="1:11" x14ac:dyDescent="0.25">
      <c r="A171" s="5">
        <v>44977</v>
      </c>
      <c r="B171" s="6">
        <v>2023</v>
      </c>
      <c r="C171" s="6">
        <v>2</v>
      </c>
      <c r="D171" s="6" t="s">
        <v>9</v>
      </c>
      <c r="E171" s="6" t="s">
        <v>13</v>
      </c>
      <c r="F171" s="6" t="s">
        <v>18</v>
      </c>
      <c r="G171" s="6">
        <v>7</v>
      </c>
      <c r="H171" s="6">
        <v>440</v>
      </c>
      <c r="I171" s="7">
        <v>286</v>
      </c>
      <c r="J171" s="6">
        <f>Sales_Data[[#This Row],[Quantity]]*Sales_Data[[#This Row],[Retail Price]]</f>
        <v>3080</v>
      </c>
      <c r="K171" s="6">
        <f>(Sales_Data[[#This Row],[Retail Price]]-Sales_Data[[#This Row],[Cost Price]])*Sales_Data[[#This Row],[Quantity]]</f>
        <v>1078</v>
      </c>
    </row>
    <row r="172" spans="1:11" x14ac:dyDescent="0.25">
      <c r="A172" s="5">
        <v>44963</v>
      </c>
      <c r="B172" s="6">
        <v>2023</v>
      </c>
      <c r="C172" s="6">
        <v>2</v>
      </c>
      <c r="D172" s="6" t="s">
        <v>9</v>
      </c>
      <c r="E172" s="6" t="s">
        <v>13</v>
      </c>
      <c r="F172" s="6" t="s">
        <v>20</v>
      </c>
      <c r="G172" s="6">
        <v>6</v>
      </c>
      <c r="H172" s="6">
        <v>1216</v>
      </c>
      <c r="I172" s="7">
        <v>948.48</v>
      </c>
      <c r="J172" s="6">
        <f>Sales_Data[[#This Row],[Quantity]]*Sales_Data[[#This Row],[Retail Price]]</f>
        <v>7296</v>
      </c>
      <c r="K172" s="6">
        <f>(Sales_Data[[#This Row],[Retail Price]]-Sales_Data[[#This Row],[Cost Price]])*Sales_Data[[#This Row],[Quantity]]</f>
        <v>1605.12</v>
      </c>
    </row>
    <row r="173" spans="1:11" x14ac:dyDescent="0.25">
      <c r="A173" s="5">
        <v>44982</v>
      </c>
      <c r="B173" s="6">
        <v>2023</v>
      </c>
      <c r="C173" s="6">
        <v>2</v>
      </c>
      <c r="D173" s="6" t="s">
        <v>10</v>
      </c>
      <c r="E173" s="6" t="s">
        <v>14</v>
      </c>
      <c r="F173" s="6" t="s">
        <v>20</v>
      </c>
      <c r="G173" s="6">
        <v>15</v>
      </c>
      <c r="H173" s="6">
        <v>703</v>
      </c>
      <c r="I173" s="7">
        <v>527.25</v>
      </c>
      <c r="J173" s="6">
        <f>Sales_Data[[#This Row],[Quantity]]*Sales_Data[[#This Row],[Retail Price]]</f>
        <v>10545</v>
      </c>
      <c r="K173" s="6">
        <f>(Sales_Data[[#This Row],[Retail Price]]-Sales_Data[[#This Row],[Cost Price]])*Sales_Data[[#This Row],[Quantity]]</f>
        <v>2636.25</v>
      </c>
    </row>
    <row r="174" spans="1:11" x14ac:dyDescent="0.25">
      <c r="A174" s="5">
        <v>44983</v>
      </c>
      <c r="B174" s="6">
        <v>2023</v>
      </c>
      <c r="C174" s="6">
        <v>2</v>
      </c>
      <c r="D174" s="6" t="s">
        <v>10</v>
      </c>
      <c r="E174" s="6" t="s">
        <v>13</v>
      </c>
      <c r="F174" s="6" t="s">
        <v>19</v>
      </c>
      <c r="G174" s="6">
        <v>14</v>
      </c>
      <c r="H174" s="6">
        <v>320</v>
      </c>
      <c r="I174" s="7">
        <v>217.6</v>
      </c>
      <c r="J174" s="6">
        <f>Sales_Data[[#This Row],[Quantity]]*Sales_Data[[#This Row],[Retail Price]]</f>
        <v>4480</v>
      </c>
      <c r="K174" s="6">
        <f>(Sales_Data[[#This Row],[Retail Price]]-Sales_Data[[#This Row],[Cost Price]])*Sales_Data[[#This Row],[Quantity]]</f>
        <v>1433.6000000000001</v>
      </c>
    </row>
    <row r="175" spans="1:11" x14ac:dyDescent="0.25">
      <c r="A175" s="5">
        <v>44598</v>
      </c>
      <c r="B175" s="6">
        <v>2022</v>
      </c>
      <c r="C175" s="6">
        <v>2</v>
      </c>
      <c r="D175" s="6" t="s">
        <v>10</v>
      </c>
      <c r="E175" s="6" t="s">
        <v>13</v>
      </c>
      <c r="F175" s="6" t="s">
        <v>18</v>
      </c>
      <c r="G175" s="6">
        <v>3</v>
      </c>
      <c r="H175" s="6">
        <v>1639</v>
      </c>
      <c r="I175" s="7">
        <v>1212.8599999999999</v>
      </c>
      <c r="J175" s="6">
        <f>Sales_Data[[#This Row],[Quantity]]*Sales_Data[[#This Row],[Retail Price]]</f>
        <v>4917</v>
      </c>
      <c r="K175" s="6">
        <f>(Sales_Data[[#This Row],[Retail Price]]-Sales_Data[[#This Row],[Cost Price]])*Sales_Data[[#This Row],[Quantity]]</f>
        <v>1278.4200000000003</v>
      </c>
    </row>
    <row r="176" spans="1:11" x14ac:dyDescent="0.25">
      <c r="A176" s="5">
        <v>44625</v>
      </c>
      <c r="B176" s="6">
        <v>2022</v>
      </c>
      <c r="C176" s="6">
        <v>3</v>
      </c>
      <c r="D176" s="6" t="s">
        <v>10</v>
      </c>
      <c r="E176" s="6" t="s">
        <v>14</v>
      </c>
      <c r="F176" s="6" t="s">
        <v>20</v>
      </c>
      <c r="G176" s="6">
        <v>5</v>
      </c>
      <c r="H176" s="6">
        <v>435</v>
      </c>
      <c r="I176" s="7">
        <v>261</v>
      </c>
      <c r="J176" s="6">
        <f>Sales_Data[[#This Row],[Quantity]]*Sales_Data[[#This Row],[Retail Price]]</f>
        <v>2175</v>
      </c>
      <c r="K176" s="6">
        <f>(Sales_Data[[#This Row],[Retail Price]]-Sales_Data[[#This Row],[Cost Price]])*Sales_Data[[#This Row],[Quantity]]</f>
        <v>870</v>
      </c>
    </row>
    <row r="177" spans="1:11" x14ac:dyDescent="0.25">
      <c r="A177" s="5">
        <v>44979</v>
      </c>
      <c r="B177" s="6">
        <v>2023</v>
      </c>
      <c r="C177" s="6">
        <v>2</v>
      </c>
      <c r="D177" s="6" t="s">
        <v>12</v>
      </c>
      <c r="E177" s="6" t="s">
        <v>14</v>
      </c>
      <c r="F177" s="6" t="s">
        <v>19</v>
      </c>
      <c r="G177" s="6">
        <v>8</v>
      </c>
      <c r="H177" s="6">
        <v>1904</v>
      </c>
      <c r="I177" s="7">
        <v>1447.04</v>
      </c>
      <c r="J177" s="6">
        <f>Sales_Data[[#This Row],[Quantity]]*Sales_Data[[#This Row],[Retail Price]]</f>
        <v>15232</v>
      </c>
      <c r="K177" s="6">
        <f>(Sales_Data[[#This Row],[Retail Price]]-Sales_Data[[#This Row],[Cost Price]])*Sales_Data[[#This Row],[Quantity]]</f>
        <v>3655.6800000000003</v>
      </c>
    </row>
    <row r="178" spans="1:11" x14ac:dyDescent="0.25">
      <c r="A178" s="5">
        <v>44950</v>
      </c>
      <c r="B178" s="6">
        <v>2023</v>
      </c>
      <c r="C178" s="6">
        <v>1</v>
      </c>
      <c r="D178" s="6" t="s">
        <v>12</v>
      </c>
      <c r="E178" s="6" t="s">
        <v>14</v>
      </c>
      <c r="F178" s="6" t="s">
        <v>16</v>
      </c>
      <c r="G178" s="6">
        <v>20</v>
      </c>
      <c r="H178" s="6">
        <v>1190</v>
      </c>
      <c r="I178" s="7">
        <v>714</v>
      </c>
      <c r="J178" s="6">
        <f>Sales_Data[[#This Row],[Quantity]]*Sales_Data[[#This Row],[Retail Price]]</f>
        <v>23800</v>
      </c>
      <c r="K178" s="6">
        <f>(Sales_Data[[#This Row],[Retail Price]]-Sales_Data[[#This Row],[Cost Price]])*Sales_Data[[#This Row],[Quantity]]</f>
        <v>9520</v>
      </c>
    </row>
    <row r="179" spans="1:11" x14ac:dyDescent="0.25">
      <c r="A179" s="5">
        <v>44949</v>
      </c>
      <c r="B179" s="6">
        <v>2023</v>
      </c>
      <c r="C179" s="6">
        <v>1</v>
      </c>
      <c r="D179" s="6" t="s">
        <v>12</v>
      </c>
      <c r="E179" s="6" t="s">
        <v>14</v>
      </c>
      <c r="F179" s="6" t="s">
        <v>20</v>
      </c>
      <c r="G179" s="6">
        <v>20</v>
      </c>
      <c r="H179" s="6">
        <v>186</v>
      </c>
      <c r="I179" s="7">
        <v>122.76</v>
      </c>
      <c r="J179" s="6">
        <f>Sales_Data[[#This Row],[Quantity]]*Sales_Data[[#This Row],[Retail Price]]</f>
        <v>3720</v>
      </c>
      <c r="K179" s="6">
        <f>(Sales_Data[[#This Row],[Retail Price]]-Sales_Data[[#This Row],[Cost Price]])*Sales_Data[[#This Row],[Quantity]]</f>
        <v>1264.8</v>
      </c>
    </row>
    <row r="180" spans="1:11" x14ac:dyDescent="0.25">
      <c r="A180" s="5">
        <v>44963</v>
      </c>
      <c r="B180" s="6">
        <v>2023</v>
      </c>
      <c r="C180" s="6">
        <v>2</v>
      </c>
      <c r="D180" s="6" t="s">
        <v>9</v>
      </c>
      <c r="E180" s="6" t="s">
        <v>15</v>
      </c>
      <c r="F180" s="6" t="s">
        <v>19</v>
      </c>
      <c r="G180" s="6">
        <v>3</v>
      </c>
      <c r="H180" s="6">
        <v>1727</v>
      </c>
      <c r="I180" s="7">
        <v>1277.98</v>
      </c>
      <c r="J180" s="6">
        <f>Sales_Data[[#This Row],[Quantity]]*Sales_Data[[#This Row],[Retail Price]]</f>
        <v>5181</v>
      </c>
      <c r="K180" s="6">
        <f>(Sales_Data[[#This Row],[Retail Price]]-Sales_Data[[#This Row],[Cost Price]])*Sales_Data[[#This Row],[Quantity]]</f>
        <v>1347.06</v>
      </c>
    </row>
    <row r="181" spans="1:11" x14ac:dyDescent="0.25">
      <c r="A181" s="5">
        <v>44632</v>
      </c>
      <c r="B181" s="6">
        <v>2022</v>
      </c>
      <c r="C181" s="6">
        <v>3</v>
      </c>
      <c r="D181" s="6" t="s">
        <v>12</v>
      </c>
      <c r="E181" s="6" t="s">
        <v>15</v>
      </c>
      <c r="F181" s="6" t="s">
        <v>17</v>
      </c>
      <c r="G181" s="6">
        <v>19</v>
      </c>
      <c r="H181" s="6">
        <v>1305</v>
      </c>
      <c r="I181" s="7">
        <v>1030.95</v>
      </c>
      <c r="J181" s="6">
        <f>Sales_Data[[#This Row],[Quantity]]*Sales_Data[[#This Row],[Retail Price]]</f>
        <v>24795</v>
      </c>
      <c r="K181" s="6">
        <f>(Sales_Data[[#This Row],[Retail Price]]-Sales_Data[[#This Row],[Cost Price]])*Sales_Data[[#This Row],[Quantity]]</f>
        <v>5206.9499999999989</v>
      </c>
    </row>
    <row r="182" spans="1:11" x14ac:dyDescent="0.25">
      <c r="A182" s="5">
        <v>44642</v>
      </c>
      <c r="B182" s="6">
        <v>2022</v>
      </c>
      <c r="C182" s="6">
        <v>3</v>
      </c>
      <c r="D182" s="6" t="s">
        <v>10</v>
      </c>
      <c r="E182" s="6" t="s">
        <v>15</v>
      </c>
      <c r="F182" s="6" t="s">
        <v>16</v>
      </c>
      <c r="G182" s="6">
        <v>8</v>
      </c>
      <c r="H182" s="6">
        <v>1972</v>
      </c>
      <c r="I182" s="7">
        <v>1479</v>
      </c>
      <c r="J182" s="6">
        <f>Sales_Data[[#This Row],[Quantity]]*Sales_Data[[#This Row],[Retail Price]]</f>
        <v>15776</v>
      </c>
      <c r="K182" s="6">
        <f>(Sales_Data[[#This Row],[Retail Price]]-Sales_Data[[#This Row],[Cost Price]])*Sales_Data[[#This Row],[Quantity]]</f>
        <v>3944</v>
      </c>
    </row>
    <row r="183" spans="1:11" x14ac:dyDescent="0.25">
      <c r="A183" s="5">
        <v>44588</v>
      </c>
      <c r="B183" s="6">
        <v>2022</v>
      </c>
      <c r="C183" s="6">
        <v>1</v>
      </c>
      <c r="D183" s="6" t="s">
        <v>12</v>
      </c>
      <c r="E183" s="6" t="s">
        <v>15</v>
      </c>
      <c r="F183" s="6" t="s">
        <v>19</v>
      </c>
      <c r="G183" s="6">
        <v>5</v>
      </c>
      <c r="H183" s="6">
        <v>708</v>
      </c>
      <c r="I183" s="7">
        <v>566.4</v>
      </c>
      <c r="J183" s="6">
        <f>Sales_Data[[#This Row],[Quantity]]*Sales_Data[[#This Row],[Retail Price]]</f>
        <v>3540</v>
      </c>
      <c r="K183" s="6">
        <f>(Sales_Data[[#This Row],[Retail Price]]-Sales_Data[[#This Row],[Cost Price]])*Sales_Data[[#This Row],[Quantity]]</f>
        <v>708.00000000000011</v>
      </c>
    </row>
    <row r="184" spans="1:11" x14ac:dyDescent="0.25">
      <c r="A184" s="5">
        <v>44639</v>
      </c>
      <c r="B184" s="6">
        <v>2022</v>
      </c>
      <c r="C184" s="6">
        <v>3</v>
      </c>
      <c r="D184" s="6" t="s">
        <v>9</v>
      </c>
      <c r="E184" s="6" t="s">
        <v>13</v>
      </c>
      <c r="F184" s="6" t="s">
        <v>19</v>
      </c>
      <c r="G184" s="6">
        <v>1</v>
      </c>
      <c r="H184" s="6">
        <v>104</v>
      </c>
      <c r="I184" s="7">
        <v>76.959999999999994</v>
      </c>
      <c r="J184" s="6">
        <f>Sales_Data[[#This Row],[Quantity]]*Sales_Data[[#This Row],[Retail Price]]</f>
        <v>104</v>
      </c>
      <c r="K184" s="6">
        <f>(Sales_Data[[#This Row],[Retail Price]]-Sales_Data[[#This Row],[Cost Price]])*Sales_Data[[#This Row],[Quantity]]</f>
        <v>27.040000000000006</v>
      </c>
    </row>
    <row r="185" spans="1:11" x14ac:dyDescent="0.25">
      <c r="A185" s="5">
        <v>44638</v>
      </c>
      <c r="B185" s="6">
        <v>2022</v>
      </c>
      <c r="C185" s="6">
        <v>3</v>
      </c>
      <c r="D185" s="6" t="s">
        <v>11</v>
      </c>
      <c r="E185" s="6" t="s">
        <v>14</v>
      </c>
      <c r="F185" s="6" t="s">
        <v>18</v>
      </c>
      <c r="G185" s="6">
        <v>12</v>
      </c>
      <c r="H185" s="6">
        <v>1569</v>
      </c>
      <c r="I185" s="7">
        <v>1176.75</v>
      </c>
      <c r="J185" s="6">
        <f>Sales_Data[[#This Row],[Quantity]]*Sales_Data[[#This Row],[Retail Price]]</f>
        <v>18828</v>
      </c>
      <c r="K185" s="6">
        <f>(Sales_Data[[#This Row],[Retail Price]]-Sales_Data[[#This Row],[Cost Price]])*Sales_Data[[#This Row],[Quantity]]</f>
        <v>4707</v>
      </c>
    </row>
    <row r="186" spans="1:11" x14ac:dyDescent="0.25">
      <c r="A186" s="5">
        <v>44985</v>
      </c>
      <c r="B186" s="6">
        <v>2023</v>
      </c>
      <c r="C186" s="6">
        <v>2</v>
      </c>
      <c r="D186" s="6" t="s">
        <v>12</v>
      </c>
      <c r="E186" s="6" t="s">
        <v>13</v>
      </c>
      <c r="F186" s="6" t="s">
        <v>17</v>
      </c>
      <c r="G186" s="6">
        <v>17</v>
      </c>
      <c r="H186" s="6">
        <v>740</v>
      </c>
      <c r="I186" s="7">
        <v>444</v>
      </c>
      <c r="J186" s="6">
        <f>Sales_Data[[#This Row],[Quantity]]*Sales_Data[[#This Row],[Retail Price]]</f>
        <v>12580</v>
      </c>
      <c r="K186" s="6">
        <f>(Sales_Data[[#This Row],[Retail Price]]-Sales_Data[[#This Row],[Cost Price]])*Sales_Data[[#This Row],[Quantity]]</f>
        <v>5032</v>
      </c>
    </row>
    <row r="187" spans="1:11" x14ac:dyDescent="0.25">
      <c r="A187" s="5">
        <v>44579</v>
      </c>
      <c r="B187" s="6">
        <v>2022</v>
      </c>
      <c r="C187" s="6">
        <v>1</v>
      </c>
      <c r="D187" s="6" t="s">
        <v>12</v>
      </c>
      <c r="E187" s="6" t="s">
        <v>14</v>
      </c>
      <c r="F187" s="6" t="s">
        <v>20</v>
      </c>
      <c r="G187" s="6">
        <v>7</v>
      </c>
      <c r="H187" s="6">
        <v>1575</v>
      </c>
      <c r="I187" s="7">
        <v>1102.5</v>
      </c>
      <c r="J187" s="6">
        <f>Sales_Data[[#This Row],[Quantity]]*Sales_Data[[#This Row],[Retail Price]]</f>
        <v>11025</v>
      </c>
      <c r="K187" s="6">
        <f>(Sales_Data[[#This Row],[Retail Price]]-Sales_Data[[#This Row],[Cost Price]])*Sales_Data[[#This Row],[Quantity]]</f>
        <v>3307.5</v>
      </c>
    </row>
    <row r="188" spans="1:11" x14ac:dyDescent="0.25">
      <c r="A188" s="5">
        <v>44584</v>
      </c>
      <c r="B188" s="6">
        <v>2022</v>
      </c>
      <c r="C188" s="6">
        <v>1</v>
      </c>
      <c r="D188" s="6" t="s">
        <v>11</v>
      </c>
      <c r="E188" s="6" t="s">
        <v>15</v>
      </c>
      <c r="F188" s="6" t="s">
        <v>17</v>
      </c>
      <c r="G188" s="6">
        <v>17</v>
      </c>
      <c r="H188" s="6">
        <v>864</v>
      </c>
      <c r="I188" s="7">
        <v>552.96</v>
      </c>
      <c r="J188" s="6">
        <f>Sales_Data[[#This Row],[Quantity]]*Sales_Data[[#This Row],[Retail Price]]</f>
        <v>14688</v>
      </c>
      <c r="K188" s="6">
        <f>(Sales_Data[[#This Row],[Retail Price]]-Sales_Data[[#This Row],[Cost Price]])*Sales_Data[[#This Row],[Quantity]]</f>
        <v>5287.6799999999994</v>
      </c>
    </row>
    <row r="189" spans="1:11" x14ac:dyDescent="0.25">
      <c r="A189" s="5">
        <v>44927</v>
      </c>
      <c r="B189" s="6">
        <v>2023</v>
      </c>
      <c r="C189" s="6">
        <v>1</v>
      </c>
      <c r="D189" s="6" t="s">
        <v>9</v>
      </c>
      <c r="E189" s="6" t="s">
        <v>13</v>
      </c>
      <c r="F189" s="6" t="s">
        <v>19</v>
      </c>
      <c r="G189" s="6">
        <v>16</v>
      </c>
      <c r="H189" s="6">
        <v>809</v>
      </c>
      <c r="I189" s="7">
        <v>550.12</v>
      </c>
      <c r="J189" s="6">
        <f>Sales_Data[[#This Row],[Quantity]]*Sales_Data[[#This Row],[Retail Price]]</f>
        <v>12944</v>
      </c>
      <c r="K189" s="6">
        <f>(Sales_Data[[#This Row],[Retail Price]]-Sales_Data[[#This Row],[Cost Price]])*Sales_Data[[#This Row],[Quantity]]</f>
        <v>4142.08</v>
      </c>
    </row>
    <row r="190" spans="1:11" x14ac:dyDescent="0.25">
      <c r="A190" s="5">
        <v>44945</v>
      </c>
      <c r="B190" s="6">
        <v>2023</v>
      </c>
      <c r="C190" s="6">
        <v>1</v>
      </c>
      <c r="D190" s="6" t="s">
        <v>12</v>
      </c>
      <c r="E190" s="6" t="s">
        <v>13</v>
      </c>
      <c r="F190" s="6" t="s">
        <v>19</v>
      </c>
      <c r="G190" s="6">
        <v>17</v>
      </c>
      <c r="H190" s="6">
        <v>822</v>
      </c>
      <c r="I190" s="7">
        <v>583.62</v>
      </c>
      <c r="J190" s="6">
        <f>Sales_Data[[#This Row],[Quantity]]*Sales_Data[[#This Row],[Retail Price]]</f>
        <v>13974</v>
      </c>
      <c r="K190" s="6">
        <f>(Sales_Data[[#This Row],[Retail Price]]-Sales_Data[[#This Row],[Cost Price]])*Sales_Data[[#This Row],[Quantity]]</f>
        <v>4052.46</v>
      </c>
    </row>
    <row r="191" spans="1:11" x14ac:dyDescent="0.25">
      <c r="A191" s="5">
        <v>44621</v>
      </c>
      <c r="B191" s="6">
        <v>2022</v>
      </c>
      <c r="C191" s="6">
        <v>3</v>
      </c>
      <c r="D191" s="6" t="s">
        <v>9</v>
      </c>
      <c r="E191" s="6" t="s">
        <v>14</v>
      </c>
      <c r="F191" s="6" t="s">
        <v>17</v>
      </c>
      <c r="G191" s="6">
        <v>1</v>
      </c>
      <c r="H191" s="6">
        <v>598</v>
      </c>
      <c r="I191" s="7">
        <v>436.54</v>
      </c>
      <c r="J191" s="6">
        <f>Sales_Data[[#This Row],[Quantity]]*Sales_Data[[#This Row],[Retail Price]]</f>
        <v>598</v>
      </c>
      <c r="K191" s="6">
        <f>(Sales_Data[[#This Row],[Retail Price]]-Sales_Data[[#This Row],[Cost Price]])*Sales_Data[[#This Row],[Quantity]]</f>
        <v>161.45999999999998</v>
      </c>
    </row>
    <row r="192" spans="1:11" x14ac:dyDescent="0.25">
      <c r="A192" s="5">
        <v>44944</v>
      </c>
      <c r="B192" s="6">
        <v>2023</v>
      </c>
      <c r="C192" s="6">
        <v>1</v>
      </c>
      <c r="D192" s="6" t="s">
        <v>12</v>
      </c>
      <c r="E192" s="6" t="s">
        <v>13</v>
      </c>
      <c r="F192" s="6" t="s">
        <v>19</v>
      </c>
      <c r="G192" s="6">
        <v>1</v>
      </c>
      <c r="H192" s="6">
        <v>343</v>
      </c>
      <c r="I192" s="7">
        <v>253.82</v>
      </c>
      <c r="J192" s="6">
        <f>Sales_Data[[#This Row],[Quantity]]*Sales_Data[[#This Row],[Retail Price]]</f>
        <v>343</v>
      </c>
      <c r="K192" s="6">
        <f>(Sales_Data[[#This Row],[Retail Price]]-Sales_Data[[#This Row],[Cost Price]])*Sales_Data[[#This Row],[Quantity]]</f>
        <v>89.18</v>
      </c>
    </row>
    <row r="193" spans="1:11" x14ac:dyDescent="0.25">
      <c r="A193" s="5">
        <v>44989</v>
      </c>
      <c r="B193" s="6">
        <v>2023</v>
      </c>
      <c r="C193" s="6">
        <v>3</v>
      </c>
      <c r="D193" s="6" t="s">
        <v>10</v>
      </c>
      <c r="E193" s="6" t="s">
        <v>15</v>
      </c>
      <c r="F193" s="6" t="s">
        <v>16</v>
      </c>
      <c r="G193" s="6">
        <v>1</v>
      </c>
      <c r="H193" s="6">
        <v>1009</v>
      </c>
      <c r="I193" s="7">
        <v>645.76</v>
      </c>
      <c r="J193" s="6">
        <f>Sales_Data[[#This Row],[Quantity]]*Sales_Data[[#This Row],[Retail Price]]</f>
        <v>1009</v>
      </c>
      <c r="K193" s="6">
        <f>(Sales_Data[[#This Row],[Retail Price]]-Sales_Data[[#This Row],[Cost Price]])*Sales_Data[[#This Row],[Quantity]]</f>
        <v>363.24</v>
      </c>
    </row>
    <row r="194" spans="1:11" x14ac:dyDescent="0.25">
      <c r="A194" s="5">
        <v>44968</v>
      </c>
      <c r="B194" s="6">
        <v>2023</v>
      </c>
      <c r="C194" s="6">
        <v>2</v>
      </c>
      <c r="D194" s="6" t="s">
        <v>12</v>
      </c>
      <c r="E194" s="6" t="s">
        <v>13</v>
      </c>
      <c r="F194" s="6" t="s">
        <v>16</v>
      </c>
      <c r="G194" s="6">
        <v>20</v>
      </c>
      <c r="H194" s="6">
        <v>1967</v>
      </c>
      <c r="I194" s="7">
        <v>1435.91</v>
      </c>
      <c r="J194" s="6">
        <f>Sales_Data[[#This Row],[Quantity]]*Sales_Data[[#This Row],[Retail Price]]</f>
        <v>39340</v>
      </c>
      <c r="K194" s="6">
        <f>(Sales_Data[[#This Row],[Retail Price]]-Sales_Data[[#This Row],[Cost Price]])*Sales_Data[[#This Row],[Quantity]]</f>
        <v>10621.8</v>
      </c>
    </row>
    <row r="195" spans="1:11" x14ac:dyDescent="0.25">
      <c r="A195" s="5">
        <v>45001</v>
      </c>
      <c r="B195" s="6">
        <v>2023</v>
      </c>
      <c r="C195" s="6">
        <v>3</v>
      </c>
      <c r="D195" s="6" t="s">
        <v>12</v>
      </c>
      <c r="E195" s="6" t="s">
        <v>14</v>
      </c>
      <c r="F195" s="6" t="s">
        <v>18</v>
      </c>
      <c r="G195" s="6">
        <v>15</v>
      </c>
      <c r="H195" s="6">
        <v>358</v>
      </c>
      <c r="I195" s="7">
        <v>243.44</v>
      </c>
      <c r="J195" s="6">
        <f>Sales_Data[[#This Row],[Quantity]]*Sales_Data[[#This Row],[Retail Price]]</f>
        <v>5370</v>
      </c>
      <c r="K195" s="6">
        <f>(Sales_Data[[#This Row],[Retail Price]]-Sales_Data[[#This Row],[Cost Price]])*Sales_Data[[#This Row],[Quantity]]</f>
        <v>1718.4</v>
      </c>
    </row>
    <row r="196" spans="1:11" x14ac:dyDescent="0.25">
      <c r="A196" s="5">
        <v>44638</v>
      </c>
      <c r="B196" s="6">
        <v>2022</v>
      </c>
      <c r="C196" s="6">
        <v>3</v>
      </c>
      <c r="D196" s="6" t="s">
        <v>9</v>
      </c>
      <c r="E196" s="6" t="s">
        <v>14</v>
      </c>
      <c r="F196" s="6" t="s">
        <v>17</v>
      </c>
      <c r="G196" s="6">
        <v>14</v>
      </c>
      <c r="H196" s="6">
        <v>1104</v>
      </c>
      <c r="I196" s="7">
        <v>872.16</v>
      </c>
      <c r="J196" s="6">
        <f>Sales_Data[[#This Row],[Quantity]]*Sales_Data[[#This Row],[Retail Price]]</f>
        <v>15456</v>
      </c>
      <c r="K196" s="6">
        <f>(Sales_Data[[#This Row],[Retail Price]]-Sales_Data[[#This Row],[Cost Price]])*Sales_Data[[#This Row],[Quantity]]</f>
        <v>3245.76</v>
      </c>
    </row>
    <row r="197" spans="1:11" x14ac:dyDescent="0.25">
      <c r="A197" s="5">
        <v>45007</v>
      </c>
      <c r="B197" s="6">
        <v>2023</v>
      </c>
      <c r="C197" s="6">
        <v>3</v>
      </c>
      <c r="D197" s="6" t="s">
        <v>12</v>
      </c>
      <c r="E197" s="6" t="s">
        <v>15</v>
      </c>
      <c r="F197" s="6" t="s">
        <v>19</v>
      </c>
      <c r="G197" s="6">
        <v>20</v>
      </c>
      <c r="H197" s="6">
        <v>1682</v>
      </c>
      <c r="I197" s="7">
        <v>1177.4000000000001</v>
      </c>
      <c r="J197" s="6">
        <f>Sales_Data[[#This Row],[Quantity]]*Sales_Data[[#This Row],[Retail Price]]</f>
        <v>33640</v>
      </c>
      <c r="K197" s="6">
        <f>(Sales_Data[[#This Row],[Retail Price]]-Sales_Data[[#This Row],[Cost Price]])*Sales_Data[[#This Row],[Quantity]]</f>
        <v>10091.999999999998</v>
      </c>
    </row>
    <row r="198" spans="1:11" x14ac:dyDescent="0.25">
      <c r="A198" s="5">
        <v>44596</v>
      </c>
      <c r="B198" s="6">
        <v>2022</v>
      </c>
      <c r="C198" s="6">
        <v>2</v>
      </c>
      <c r="D198" s="6" t="s">
        <v>9</v>
      </c>
      <c r="E198" s="6" t="s">
        <v>15</v>
      </c>
      <c r="F198" s="6" t="s">
        <v>19</v>
      </c>
      <c r="G198" s="6">
        <v>8</v>
      </c>
      <c r="H198" s="6">
        <v>314</v>
      </c>
      <c r="I198" s="7">
        <v>216.66</v>
      </c>
      <c r="J198" s="6">
        <f>Sales_Data[[#This Row],[Quantity]]*Sales_Data[[#This Row],[Retail Price]]</f>
        <v>2512</v>
      </c>
      <c r="K198" s="6">
        <f>(Sales_Data[[#This Row],[Retail Price]]-Sales_Data[[#This Row],[Cost Price]])*Sales_Data[[#This Row],[Quantity]]</f>
        <v>778.72</v>
      </c>
    </row>
    <row r="199" spans="1:11" x14ac:dyDescent="0.25">
      <c r="A199" s="5">
        <v>44648</v>
      </c>
      <c r="B199" s="6">
        <v>2022</v>
      </c>
      <c r="C199" s="6">
        <v>3</v>
      </c>
      <c r="D199" s="6" t="s">
        <v>12</v>
      </c>
      <c r="E199" s="6" t="s">
        <v>14</v>
      </c>
      <c r="F199" s="6" t="s">
        <v>16</v>
      </c>
      <c r="G199" s="6">
        <v>10</v>
      </c>
      <c r="H199" s="6">
        <v>886</v>
      </c>
      <c r="I199" s="7">
        <v>549.32000000000005</v>
      </c>
      <c r="J199" s="6">
        <f>Sales_Data[[#This Row],[Quantity]]*Sales_Data[[#This Row],[Retail Price]]</f>
        <v>8860</v>
      </c>
      <c r="K199" s="6">
        <f>(Sales_Data[[#This Row],[Retail Price]]-Sales_Data[[#This Row],[Cost Price]])*Sales_Data[[#This Row],[Quantity]]</f>
        <v>3366.7999999999993</v>
      </c>
    </row>
    <row r="200" spans="1:11" x14ac:dyDescent="0.25">
      <c r="A200" s="5">
        <v>44569</v>
      </c>
      <c r="B200" s="6">
        <v>2022</v>
      </c>
      <c r="C200" s="6">
        <v>1</v>
      </c>
      <c r="D200" s="6" t="s">
        <v>11</v>
      </c>
      <c r="E200" s="6" t="s">
        <v>15</v>
      </c>
      <c r="F200" s="6" t="s">
        <v>19</v>
      </c>
      <c r="G200" s="6">
        <v>14</v>
      </c>
      <c r="H200" s="6">
        <v>1025</v>
      </c>
      <c r="I200" s="7">
        <v>779</v>
      </c>
      <c r="J200" s="6">
        <f>Sales_Data[[#This Row],[Quantity]]*Sales_Data[[#This Row],[Retail Price]]</f>
        <v>14350</v>
      </c>
      <c r="K200" s="6">
        <f>(Sales_Data[[#This Row],[Retail Price]]-Sales_Data[[#This Row],[Cost Price]])*Sales_Data[[#This Row],[Quantity]]</f>
        <v>3444</v>
      </c>
    </row>
    <row r="201" spans="1:11" x14ac:dyDescent="0.25">
      <c r="A201" s="5">
        <v>44980</v>
      </c>
      <c r="B201" s="6">
        <v>2023</v>
      </c>
      <c r="C201" s="6">
        <v>2</v>
      </c>
      <c r="D201" s="6" t="s">
        <v>12</v>
      </c>
      <c r="E201" s="6" t="s">
        <v>14</v>
      </c>
      <c r="F201" s="6" t="s">
        <v>20</v>
      </c>
      <c r="G201" s="6">
        <v>2</v>
      </c>
      <c r="H201" s="6">
        <v>1203</v>
      </c>
      <c r="I201" s="7">
        <v>962.4</v>
      </c>
      <c r="J201" s="6">
        <f>Sales_Data[[#This Row],[Quantity]]*Sales_Data[[#This Row],[Retail Price]]</f>
        <v>2406</v>
      </c>
      <c r="K201" s="6">
        <f>(Sales_Data[[#This Row],[Retail Price]]-Sales_Data[[#This Row],[Cost Price]])*Sales_Data[[#This Row],[Quantity]]</f>
        <v>481.20000000000005</v>
      </c>
    </row>
    <row r="202" spans="1:11" x14ac:dyDescent="0.25">
      <c r="A202" s="5">
        <v>44643</v>
      </c>
      <c r="B202" s="6">
        <v>2022</v>
      </c>
      <c r="C202" s="6">
        <v>3</v>
      </c>
      <c r="D202" s="6" t="s">
        <v>12</v>
      </c>
      <c r="E202" s="6" t="s">
        <v>14</v>
      </c>
      <c r="F202" s="6" t="s">
        <v>18</v>
      </c>
      <c r="G202" s="6">
        <v>7</v>
      </c>
      <c r="H202" s="6">
        <v>574</v>
      </c>
      <c r="I202" s="7">
        <v>401.8</v>
      </c>
      <c r="J202" s="6">
        <f>Sales_Data[[#This Row],[Quantity]]*Sales_Data[[#This Row],[Retail Price]]</f>
        <v>4018</v>
      </c>
      <c r="K202" s="6">
        <f>(Sales_Data[[#This Row],[Retail Price]]-Sales_Data[[#This Row],[Cost Price]])*Sales_Data[[#This Row],[Quantity]]</f>
        <v>1205.3999999999999</v>
      </c>
    </row>
    <row r="203" spans="1:11" x14ac:dyDescent="0.25">
      <c r="A203" s="5">
        <v>44637</v>
      </c>
      <c r="B203" s="6">
        <v>2022</v>
      </c>
      <c r="C203" s="6">
        <v>3</v>
      </c>
      <c r="D203" s="6" t="s">
        <v>10</v>
      </c>
      <c r="E203" s="6" t="s">
        <v>13</v>
      </c>
      <c r="F203" s="6" t="s">
        <v>19</v>
      </c>
      <c r="G203" s="6">
        <v>18</v>
      </c>
      <c r="H203" s="6">
        <v>818</v>
      </c>
      <c r="I203" s="7">
        <v>621.67999999999995</v>
      </c>
      <c r="J203" s="6">
        <f>Sales_Data[[#This Row],[Quantity]]*Sales_Data[[#This Row],[Retail Price]]</f>
        <v>14724</v>
      </c>
      <c r="K203" s="6">
        <f>(Sales_Data[[#This Row],[Retail Price]]-Sales_Data[[#This Row],[Cost Price]])*Sales_Data[[#This Row],[Quantity]]</f>
        <v>3533.7600000000011</v>
      </c>
    </row>
    <row r="204" spans="1:11" x14ac:dyDescent="0.25">
      <c r="A204" s="5">
        <v>45010</v>
      </c>
      <c r="B204" s="6">
        <v>2023</v>
      </c>
      <c r="C204" s="6">
        <v>3</v>
      </c>
      <c r="D204" s="6" t="s">
        <v>12</v>
      </c>
      <c r="E204" s="6" t="s">
        <v>15</v>
      </c>
      <c r="F204" s="6" t="s">
        <v>20</v>
      </c>
      <c r="G204" s="6">
        <v>3</v>
      </c>
      <c r="H204" s="6">
        <v>487</v>
      </c>
      <c r="I204" s="7">
        <v>345.77</v>
      </c>
      <c r="J204" s="6">
        <f>Sales_Data[[#This Row],[Quantity]]*Sales_Data[[#This Row],[Retail Price]]</f>
        <v>1461</v>
      </c>
      <c r="K204" s="6">
        <f>(Sales_Data[[#This Row],[Retail Price]]-Sales_Data[[#This Row],[Cost Price]])*Sales_Data[[#This Row],[Quantity]]</f>
        <v>423.69000000000005</v>
      </c>
    </row>
    <row r="205" spans="1:11" x14ac:dyDescent="0.25">
      <c r="A205" s="5">
        <v>44954</v>
      </c>
      <c r="B205" s="6">
        <v>2023</v>
      </c>
      <c r="C205" s="6">
        <v>1</v>
      </c>
      <c r="D205" s="6" t="s">
        <v>12</v>
      </c>
      <c r="E205" s="6" t="s">
        <v>14</v>
      </c>
      <c r="F205" s="6" t="s">
        <v>17</v>
      </c>
      <c r="G205" s="6">
        <v>16</v>
      </c>
      <c r="H205" s="6">
        <v>1718</v>
      </c>
      <c r="I205" s="7">
        <v>1305.68</v>
      </c>
      <c r="J205" s="6">
        <f>Sales_Data[[#This Row],[Quantity]]*Sales_Data[[#This Row],[Retail Price]]</f>
        <v>27488</v>
      </c>
      <c r="K205" s="6">
        <f>(Sales_Data[[#This Row],[Retail Price]]-Sales_Data[[#This Row],[Cost Price]])*Sales_Data[[#This Row],[Quantity]]</f>
        <v>6597.119999999999</v>
      </c>
    </row>
    <row r="206" spans="1:11" x14ac:dyDescent="0.25">
      <c r="A206" s="5">
        <v>44610</v>
      </c>
      <c r="B206" s="6">
        <v>2022</v>
      </c>
      <c r="C206" s="6">
        <v>2</v>
      </c>
      <c r="D206" s="6" t="s">
        <v>9</v>
      </c>
      <c r="E206" s="6" t="s">
        <v>14</v>
      </c>
      <c r="F206" s="6" t="s">
        <v>17</v>
      </c>
      <c r="G206" s="6">
        <v>2</v>
      </c>
      <c r="H206" s="6">
        <v>1127</v>
      </c>
      <c r="I206" s="7">
        <v>867.79</v>
      </c>
      <c r="J206" s="6">
        <f>Sales_Data[[#This Row],[Quantity]]*Sales_Data[[#This Row],[Retail Price]]</f>
        <v>2254</v>
      </c>
      <c r="K206" s="6">
        <f>(Sales_Data[[#This Row],[Retail Price]]-Sales_Data[[#This Row],[Cost Price]])*Sales_Data[[#This Row],[Quantity]]</f>
        <v>518.42000000000007</v>
      </c>
    </row>
    <row r="207" spans="1:11" x14ac:dyDescent="0.25">
      <c r="A207" s="5">
        <v>44644</v>
      </c>
      <c r="B207" s="6">
        <v>2022</v>
      </c>
      <c r="C207" s="6">
        <v>3</v>
      </c>
      <c r="D207" s="6" t="s">
        <v>12</v>
      </c>
      <c r="E207" s="6" t="s">
        <v>15</v>
      </c>
      <c r="F207" s="6" t="s">
        <v>19</v>
      </c>
      <c r="G207" s="6">
        <v>4</v>
      </c>
      <c r="H207" s="6">
        <v>1773</v>
      </c>
      <c r="I207" s="7">
        <v>1312.02</v>
      </c>
      <c r="J207" s="6">
        <f>Sales_Data[[#This Row],[Quantity]]*Sales_Data[[#This Row],[Retail Price]]</f>
        <v>7092</v>
      </c>
      <c r="K207" s="6">
        <f>(Sales_Data[[#This Row],[Retail Price]]-Sales_Data[[#This Row],[Cost Price]])*Sales_Data[[#This Row],[Quantity]]</f>
        <v>1843.92</v>
      </c>
    </row>
    <row r="208" spans="1:11" x14ac:dyDescent="0.25">
      <c r="A208" s="5">
        <v>44993</v>
      </c>
      <c r="B208" s="6">
        <v>2023</v>
      </c>
      <c r="C208" s="6">
        <v>3</v>
      </c>
      <c r="D208" s="6" t="s">
        <v>10</v>
      </c>
      <c r="E208" s="6" t="s">
        <v>14</v>
      </c>
      <c r="F208" s="6" t="s">
        <v>17</v>
      </c>
      <c r="G208" s="6">
        <v>8</v>
      </c>
      <c r="H208" s="6">
        <v>1942</v>
      </c>
      <c r="I208" s="7">
        <v>1553.6</v>
      </c>
      <c r="J208" s="6">
        <f>Sales_Data[[#This Row],[Quantity]]*Sales_Data[[#This Row],[Retail Price]]</f>
        <v>15536</v>
      </c>
      <c r="K208" s="6">
        <f>(Sales_Data[[#This Row],[Retail Price]]-Sales_Data[[#This Row],[Cost Price]])*Sales_Data[[#This Row],[Quantity]]</f>
        <v>3107.2000000000007</v>
      </c>
    </row>
    <row r="209" spans="1:11" x14ac:dyDescent="0.25">
      <c r="A209" s="5">
        <v>44582</v>
      </c>
      <c r="B209" s="6">
        <v>2022</v>
      </c>
      <c r="C209" s="6">
        <v>1</v>
      </c>
      <c r="D209" s="6" t="s">
        <v>10</v>
      </c>
      <c r="E209" s="6" t="s">
        <v>15</v>
      </c>
      <c r="F209" s="6" t="s">
        <v>17</v>
      </c>
      <c r="G209" s="6">
        <v>20</v>
      </c>
      <c r="H209" s="6">
        <v>106</v>
      </c>
      <c r="I209" s="7">
        <v>64.66</v>
      </c>
      <c r="J209" s="6">
        <f>Sales_Data[[#This Row],[Quantity]]*Sales_Data[[#This Row],[Retail Price]]</f>
        <v>2120</v>
      </c>
      <c r="K209" s="6">
        <f>(Sales_Data[[#This Row],[Retail Price]]-Sales_Data[[#This Row],[Cost Price]])*Sales_Data[[#This Row],[Quantity]]</f>
        <v>826.80000000000007</v>
      </c>
    </row>
    <row r="210" spans="1:11" x14ac:dyDescent="0.25">
      <c r="A210" s="5">
        <v>44940</v>
      </c>
      <c r="B210" s="6">
        <v>2023</v>
      </c>
      <c r="C210" s="6">
        <v>1</v>
      </c>
      <c r="D210" s="6" t="s">
        <v>11</v>
      </c>
      <c r="E210" s="6" t="s">
        <v>14</v>
      </c>
      <c r="F210" s="6" t="s">
        <v>19</v>
      </c>
      <c r="G210" s="6">
        <v>13</v>
      </c>
      <c r="H210" s="6">
        <v>185</v>
      </c>
      <c r="I210" s="7">
        <v>120.25</v>
      </c>
      <c r="J210" s="6">
        <f>Sales_Data[[#This Row],[Quantity]]*Sales_Data[[#This Row],[Retail Price]]</f>
        <v>2405</v>
      </c>
      <c r="K210" s="6">
        <f>(Sales_Data[[#This Row],[Retail Price]]-Sales_Data[[#This Row],[Cost Price]])*Sales_Data[[#This Row],[Quantity]]</f>
        <v>841.75</v>
      </c>
    </row>
    <row r="211" spans="1:11" x14ac:dyDescent="0.25">
      <c r="A211" s="5">
        <v>44563</v>
      </c>
      <c r="B211" s="6">
        <v>2022</v>
      </c>
      <c r="C211" s="6">
        <v>1</v>
      </c>
      <c r="D211" s="6" t="s">
        <v>10</v>
      </c>
      <c r="E211" s="6" t="s">
        <v>15</v>
      </c>
      <c r="F211" s="6" t="s">
        <v>18</v>
      </c>
      <c r="G211" s="6">
        <v>19</v>
      </c>
      <c r="H211" s="6">
        <v>1268</v>
      </c>
      <c r="I211" s="7">
        <v>912.96</v>
      </c>
      <c r="J211" s="6">
        <f>Sales_Data[[#This Row],[Quantity]]*Sales_Data[[#This Row],[Retail Price]]</f>
        <v>24092</v>
      </c>
      <c r="K211" s="6">
        <f>(Sales_Data[[#This Row],[Retail Price]]-Sales_Data[[#This Row],[Cost Price]])*Sales_Data[[#This Row],[Quantity]]</f>
        <v>6745.7599999999993</v>
      </c>
    </row>
    <row r="212" spans="1:11" x14ac:dyDescent="0.25">
      <c r="A212" s="5">
        <v>45010</v>
      </c>
      <c r="B212" s="6">
        <v>2023</v>
      </c>
      <c r="C212" s="6">
        <v>3</v>
      </c>
      <c r="D212" s="6" t="s">
        <v>10</v>
      </c>
      <c r="E212" s="6" t="s">
        <v>13</v>
      </c>
      <c r="F212" s="6" t="s">
        <v>19</v>
      </c>
      <c r="G212" s="6">
        <v>15</v>
      </c>
      <c r="H212" s="6">
        <v>1414</v>
      </c>
      <c r="I212" s="7">
        <v>862.54</v>
      </c>
      <c r="J212" s="6">
        <f>Sales_Data[[#This Row],[Quantity]]*Sales_Data[[#This Row],[Retail Price]]</f>
        <v>21210</v>
      </c>
      <c r="K212" s="6">
        <f>(Sales_Data[[#This Row],[Retail Price]]-Sales_Data[[#This Row],[Cost Price]])*Sales_Data[[#This Row],[Quantity]]</f>
        <v>8271.9000000000015</v>
      </c>
    </row>
    <row r="213" spans="1:11" x14ac:dyDescent="0.25">
      <c r="A213" s="5">
        <v>44952</v>
      </c>
      <c r="B213" s="6">
        <v>2023</v>
      </c>
      <c r="C213" s="6">
        <v>1</v>
      </c>
      <c r="D213" s="6" t="s">
        <v>9</v>
      </c>
      <c r="E213" s="6" t="s">
        <v>13</v>
      </c>
      <c r="F213" s="6" t="s">
        <v>20</v>
      </c>
      <c r="G213" s="6">
        <v>19</v>
      </c>
      <c r="H213" s="6">
        <v>1763</v>
      </c>
      <c r="I213" s="7">
        <v>1093.06</v>
      </c>
      <c r="J213" s="6">
        <f>Sales_Data[[#This Row],[Quantity]]*Sales_Data[[#This Row],[Retail Price]]</f>
        <v>33497</v>
      </c>
      <c r="K213" s="6">
        <f>(Sales_Data[[#This Row],[Retail Price]]-Sales_Data[[#This Row],[Cost Price]])*Sales_Data[[#This Row],[Quantity]]</f>
        <v>12728.86</v>
      </c>
    </row>
    <row r="214" spans="1:11" x14ac:dyDescent="0.25">
      <c r="A214" s="5">
        <v>44946</v>
      </c>
      <c r="B214" s="6">
        <v>2023</v>
      </c>
      <c r="C214" s="6">
        <v>1</v>
      </c>
      <c r="D214" s="6" t="s">
        <v>11</v>
      </c>
      <c r="E214" s="6" t="s">
        <v>13</v>
      </c>
      <c r="F214" s="6" t="s">
        <v>18</v>
      </c>
      <c r="G214" s="6">
        <v>9</v>
      </c>
      <c r="H214" s="6">
        <v>1566</v>
      </c>
      <c r="I214" s="7">
        <v>1158.8399999999999</v>
      </c>
      <c r="J214" s="6">
        <f>Sales_Data[[#This Row],[Quantity]]*Sales_Data[[#This Row],[Retail Price]]</f>
        <v>14094</v>
      </c>
      <c r="K214" s="6">
        <f>(Sales_Data[[#This Row],[Retail Price]]-Sales_Data[[#This Row],[Cost Price]])*Sales_Data[[#This Row],[Quantity]]</f>
        <v>3664.4400000000005</v>
      </c>
    </row>
    <row r="215" spans="1:11" x14ac:dyDescent="0.25">
      <c r="A215" s="5">
        <v>44648</v>
      </c>
      <c r="B215" s="6">
        <v>2022</v>
      </c>
      <c r="C215" s="6">
        <v>3</v>
      </c>
      <c r="D215" s="6" t="s">
        <v>10</v>
      </c>
      <c r="E215" s="6" t="s">
        <v>15</v>
      </c>
      <c r="F215" s="6" t="s">
        <v>19</v>
      </c>
      <c r="G215" s="6">
        <v>20</v>
      </c>
      <c r="H215" s="6">
        <v>638</v>
      </c>
      <c r="I215" s="7">
        <v>459.36</v>
      </c>
      <c r="J215" s="6">
        <f>Sales_Data[[#This Row],[Quantity]]*Sales_Data[[#This Row],[Retail Price]]</f>
        <v>12760</v>
      </c>
      <c r="K215" s="6">
        <f>(Sales_Data[[#This Row],[Retail Price]]-Sales_Data[[#This Row],[Cost Price]])*Sales_Data[[#This Row],[Quantity]]</f>
        <v>3572.7999999999997</v>
      </c>
    </row>
    <row r="216" spans="1:11" x14ac:dyDescent="0.25">
      <c r="A216" s="5">
        <v>44944</v>
      </c>
      <c r="B216" s="6">
        <v>2023</v>
      </c>
      <c r="C216" s="6">
        <v>1</v>
      </c>
      <c r="D216" s="6" t="s">
        <v>9</v>
      </c>
      <c r="E216" s="6" t="s">
        <v>15</v>
      </c>
      <c r="F216" s="6" t="s">
        <v>20</v>
      </c>
      <c r="G216" s="6">
        <v>3</v>
      </c>
      <c r="H216" s="6">
        <v>1750</v>
      </c>
      <c r="I216" s="7">
        <v>1260</v>
      </c>
      <c r="J216" s="6">
        <f>Sales_Data[[#This Row],[Quantity]]*Sales_Data[[#This Row],[Retail Price]]</f>
        <v>5250</v>
      </c>
      <c r="K216" s="6">
        <f>(Sales_Data[[#This Row],[Retail Price]]-Sales_Data[[#This Row],[Cost Price]])*Sales_Data[[#This Row],[Quantity]]</f>
        <v>1470</v>
      </c>
    </row>
    <row r="217" spans="1:11" x14ac:dyDescent="0.25">
      <c r="A217" s="5">
        <v>44959</v>
      </c>
      <c r="B217" s="6">
        <v>2023</v>
      </c>
      <c r="C217" s="6">
        <v>2</v>
      </c>
      <c r="D217" s="6" t="s">
        <v>9</v>
      </c>
      <c r="E217" s="6" t="s">
        <v>13</v>
      </c>
      <c r="F217" s="6" t="s">
        <v>17</v>
      </c>
      <c r="G217" s="6">
        <v>2</v>
      </c>
      <c r="H217" s="6">
        <v>875</v>
      </c>
      <c r="I217" s="7">
        <v>630</v>
      </c>
      <c r="J217" s="6">
        <f>Sales_Data[[#This Row],[Quantity]]*Sales_Data[[#This Row],[Retail Price]]</f>
        <v>1750</v>
      </c>
      <c r="K217" s="6">
        <f>(Sales_Data[[#This Row],[Retail Price]]-Sales_Data[[#This Row],[Cost Price]])*Sales_Data[[#This Row],[Quantity]]</f>
        <v>490</v>
      </c>
    </row>
    <row r="218" spans="1:11" x14ac:dyDescent="0.25">
      <c r="A218" s="5">
        <v>44941</v>
      </c>
      <c r="B218" s="6">
        <v>2023</v>
      </c>
      <c r="C218" s="6">
        <v>1</v>
      </c>
      <c r="D218" s="6" t="s">
        <v>11</v>
      </c>
      <c r="E218" s="6" t="s">
        <v>14</v>
      </c>
      <c r="F218" s="6" t="s">
        <v>16</v>
      </c>
      <c r="G218" s="6">
        <v>2</v>
      </c>
      <c r="H218" s="6">
        <v>814</v>
      </c>
      <c r="I218" s="7">
        <v>634.91999999999996</v>
      </c>
      <c r="J218" s="6">
        <f>Sales_Data[[#This Row],[Quantity]]*Sales_Data[[#This Row],[Retail Price]]</f>
        <v>1628</v>
      </c>
      <c r="K218" s="6">
        <f>(Sales_Data[[#This Row],[Retail Price]]-Sales_Data[[#This Row],[Cost Price]])*Sales_Data[[#This Row],[Quantity]]</f>
        <v>358.16000000000008</v>
      </c>
    </row>
    <row r="219" spans="1:11" x14ac:dyDescent="0.25">
      <c r="A219" s="5">
        <v>44569</v>
      </c>
      <c r="B219" s="6">
        <v>2022</v>
      </c>
      <c r="C219" s="6">
        <v>1</v>
      </c>
      <c r="D219" s="6" t="s">
        <v>9</v>
      </c>
      <c r="E219" s="6" t="s">
        <v>15</v>
      </c>
      <c r="F219" s="6" t="s">
        <v>17</v>
      </c>
      <c r="G219" s="6">
        <v>2</v>
      </c>
      <c r="H219" s="6">
        <v>1576</v>
      </c>
      <c r="I219" s="7">
        <v>1118.96</v>
      </c>
      <c r="J219" s="6">
        <f>Sales_Data[[#This Row],[Quantity]]*Sales_Data[[#This Row],[Retail Price]]</f>
        <v>3152</v>
      </c>
      <c r="K219" s="6">
        <f>(Sales_Data[[#This Row],[Retail Price]]-Sales_Data[[#This Row],[Cost Price]])*Sales_Data[[#This Row],[Quantity]]</f>
        <v>914.07999999999993</v>
      </c>
    </row>
    <row r="220" spans="1:11" x14ac:dyDescent="0.25">
      <c r="A220" s="5">
        <v>44936</v>
      </c>
      <c r="B220" s="6">
        <v>2023</v>
      </c>
      <c r="C220" s="6">
        <v>1</v>
      </c>
      <c r="D220" s="6" t="s">
        <v>10</v>
      </c>
      <c r="E220" s="6" t="s">
        <v>13</v>
      </c>
      <c r="F220" s="6" t="s">
        <v>17</v>
      </c>
      <c r="G220" s="6">
        <v>15</v>
      </c>
      <c r="H220" s="6">
        <v>1694</v>
      </c>
      <c r="I220" s="7">
        <v>1101.0999999999999</v>
      </c>
      <c r="J220" s="6">
        <f>Sales_Data[[#This Row],[Quantity]]*Sales_Data[[#This Row],[Retail Price]]</f>
        <v>25410</v>
      </c>
      <c r="K220" s="6">
        <f>(Sales_Data[[#This Row],[Retail Price]]-Sales_Data[[#This Row],[Cost Price]])*Sales_Data[[#This Row],[Quantity]]</f>
        <v>8893.5000000000018</v>
      </c>
    </row>
    <row r="221" spans="1:11" x14ac:dyDescent="0.25">
      <c r="A221" s="5">
        <v>44574</v>
      </c>
      <c r="B221" s="6">
        <v>2022</v>
      </c>
      <c r="C221" s="6">
        <v>1</v>
      </c>
      <c r="D221" s="6" t="s">
        <v>9</v>
      </c>
      <c r="E221" s="6" t="s">
        <v>15</v>
      </c>
      <c r="F221" s="6" t="s">
        <v>16</v>
      </c>
      <c r="G221" s="6">
        <v>10</v>
      </c>
      <c r="H221" s="6">
        <v>363</v>
      </c>
      <c r="I221" s="7">
        <v>257.73</v>
      </c>
      <c r="J221" s="6">
        <f>Sales_Data[[#This Row],[Quantity]]*Sales_Data[[#This Row],[Retail Price]]</f>
        <v>3630</v>
      </c>
      <c r="K221" s="6">
        <f>(Sales_Data[[#This Row],[Retail Price]]-Sales_Data[[#This Row],[Cost Price]])*Sales_Data[[#This Row],[Quantity]]</f>
        <v>1052.6999999999998</v>
      </c>
    </row>
    <row r="222" spans="1:11" x14ac:dyDescent="0.25">
      <c r="A222" s="5">
        <v>44574</v>
      </c>
      <c r="B222" s="6">
        <v>2022</v>
      </c>
      <c r="C222" s="6">
        <v>1</v>
      </c>
      <c r="D222" s="6" t="s">
        <v>11</v>
      </c>
      <c r="E222" s="6" t="s">
        <v>13</v>
      </c>
      <c r="F222" s="6" t="s">
        <v>20</v>
      </c>
      <c r="G222" s="6">
        <v>5</v>
      </c>
      <c r="H222" s="6">
        <v>1395</v>
      </c>
      <c r="I222" s="7">
        <v>1116</v>
      </c>
      <c r="J222" s="6">
        <f>Sales_Data[[#This Row],[Quantity]]*Sales_Data[[#This Row],[Retail Price]]</f>
        <v>6975</v>
      </c>
      <c r="K222" s="6">
        <f>(Sales_Data[[#This Row],[Retail Price]]-Sales_Data[[#This Row],[Cost Price]])*Sales_Data[[#This Row],[Quantity]]</f>
        <v>1395</v>
      </c>
    </row>
    <row r="223" spans="1:11" x14ac:dyDescent="0.25">
      <c r="A223" s="5">
        <v>44632</v>
      </c>
      <c r="B223" s="6">
        <v>2022</v>
      </c>
      <c r="C223" s="6">
        <v>3</v>
      </c>
      <c r="D223" s="6" t="s">
        <v>11</v>
      </c>
      <c r="E223" s="6" t="s">
        <v>13</v>
      </c>
      <c r="F223" s="6" t="s">
        <v>20</v>
      </c>
      <c r="G223" s="6">
        <v>19</v>
      </c>
      <c r="H223" s="6">
        <v>1339</v>
      </c>
      <c r="I223" s="7">
        <v>897.13</v>
      </c>
      <c r="J223" s="6">
        <f>Sales_Data[[#This Row],[Quantity]]*Sales_Data[[#This Row],[Retail Price]]</f>
        <v>25441</v>
      </c>
      <c r="K223" s="6">
        <f>(Sales_Data[[#This Row],[Retail Price]]-Sales_Data[[#This Row],[Cost Price]])*Sales_Data[[#This Row],[Quantity]]</f>
        <v>8395.5300000000007</v>
      </c>
    </row>
    <row r="224" spans="1:11" x14ac:dyDescent="0.25">
      <c r="A224" s="5">
        <v>44964</v>
      </c>
      <c r="B224" s="6">
        <v>2023</v>
      </c>
      <c r="C224" s="6">
        <v>2</v>
      </c>
      <c r="D224" s="6" t="s">
        <v>9</v>
      </c>
      <c r="E224" s="6" t="s">
        <v>15</v>
      </c>
      <c r="F224" s="6" t="s">
        <v>16</v>
      </c>
      <c r="G224" s="6">
        <v>7</v>
      </c>
      <c r="H224" s="6">
        <v>214</v>
      </c>
      <c r="I224" s="7">
        <v>132.68</v>
      </c>
      <c r="J224" s="6">
        <f>Sales_Data[[#This Row],[Quantity]]*Sales_Data[[#This Row],[Retail Price]]</f>
        <v>1498</v>
      </c>
      <c r="K224" s="6">
        <f>(Sales_Data[[#This Row],[Retail Price]]-Sales_Data[[#This Row],[Cost Price]])*Sales_Data[[#This Row],[Quantity]]</f>
        <v>569.24</v>
      </c>
    </row>
    <row r="225" spans="1:11" x14ac:dyDescent="0.25">
      <c r="A225" s="5">
        <v>44641</v>
      </c>
      <c r="B225" s="6">
        <v>2022</v>
      </c>
      <c r="C225" s="6">
        <v>3</v>
      </c>
      <c r="D225" s="6" t="s">
        <v>9</v>
      </c>
      <c r="E225" s="6" t="s">
        <v>15</v>
      </c>
      <c r="F225" s="6" t="s">
        <v>18</v>
      </c>
      <c r="G225" s="6">
        <v>12</v>
      </c>
      <c r="H225" s="6">
        <v>1044</v>
      </c>
      <c r="I225" s="7">
        <v>793.44</v>
      </c>
      <c r="J225" s="6">
        <f>Sales_Data[[#This Row],[Quantity]]*Sales_Data[[#This Row],[Retail Price]]</f>
        <v>12528</v>
      </c>
      <c r="K225" s="6">
        <f>(Sales_Data[[#This Row],[Retail Price]]-Sales_Data[[#This Row],[Cost Price]])*Sales_Data[[#This Row],[Quantity]]</f>
        <v>3006.7199999999993</v>
      </c>
    </row>
    <row r="226" spans="1:11" x14ac:dyDescent="0.25">
      <c r="A226" s="5">
        <v>45006</v>
      </c>
      <c r="B226" s="6">
        <v>2023</v>
      </c>
      <c r="C226" s="6">
        <v>3</v>
      </c>
      <c r="D226" s="6" t="s">
        <v>10</v>
      </c>
      <c r="E226" s="6" t="s">
        <v>14</v>
      </c>
      <c r="F226" s="6" t="s">
        <v>16</v>
      </c>
      <c r="G226" s="6">
        <v>13</v>
      </c>
      <c r="H226" s="6">
        <v>727</v>
      </c>
      <c r="I226" s="7">
        <v>516.16999999999996</v>
      </c>
      <c r="J226" s="6">
        <f>Sales_Data[[#This Row],[Quantity]]*Sales_Data[[#This Row],[Retail Price]]</f>
        <v>9451</v>
      </c>
      <c r="K226" s="6">
        <f>(Sales_Data[[#This Row],[Retail Price]]-Sales_Data[[#This Row],[Cost Price]])*Sales_Data[[#This Row],[Quantity]]</f>
        <v>2740.7900000000004</v>
      </c>
    </row>
    <row r="227" spans="1:11" x14ac:dyDescent="0.25">
      <c r="A227" s="5">
        <v>44995</v>
      </c>
      <c r="B227" s="6">
        <v>2023</v>
      </c>
      <c r="C227" s="6">
        <v>3</v>
      </c>
      <c r="D227" s="6" t="s">
        <v>11</v>
      </c>
      <c r="E227" s="6" t="s">
        <v>14</v>
      </c>
      <c r="F227" s="6" t="s">
        <v>20</v>
      </c>
      <c r="G227" s="6">
        <v>15</v>
      </c>
      <c r="H227" s="6">
        <v>1634</v>
      </c>
      <c r="I227" s="7">
        <v>1258.18</v>
      </c>
      <c r="J227" s="6">
        <f>Sales_Data[[#This Row],[Quantity]]*Sales_Data[[#This Row],[Retail Price]]</f>
        <v>24510</v>
      </c>
      <c r="K227" s="6">
        <f>(Sales_Data[[#This Row],[Retail Price]]-Sales_Data[[#This Row],[Cost Price]])*Sales_Data[[#This Row],[Quantity]]</f>
        <v>5637.2999999999993</v>
      </c>
    </row>
    <row r="228" spans="1:11" x14ac:dyDescent="0.25">
      <c r="A228" s="5">
        <v>44600</v>
      </c>
      <c r="B228" s="6">
        <v>2022</v>
      </c>
      <c r="C228" s="6">
        <v>2</v>
      </c>
      <c r="D228" s="6" t="s">
        <v>9</v>
      </c>
      <c r="E228" s="6" t="s">
        <v>13</v>
      </c>
      <c r="F228" s="6" t="s">
        <v>16</v>
      </c>
      <c r="G228" s="6">
        <v>16</v>
      </c>
      <c r="H228" s="6">
        <v>146</v>
      </c>
      <c r="I228" s="7">
        <v>115.34</v>
      </c>
      <c r="J228" s="6">
        <f>Sales_Data[[#This Row],[Quantity]]*Sales_Data[[#This Row],[Retail Price]]</f>
        <v>2336</v>
      </c>
      <c r="K228" s="6">
        <f>(Sales_Data[[#This Row],[Retail Price]]-Sales_Data[[#This Row],[Cost Price]])*Sales_Data[[#This Row],[Quantity]]</f>
        <v>490.55999999999995</v>
      </c>
    </row>
    <row r="229" spans="1:11" x14ac:dyDescent="0.25">
      <c r="A229" s="5">
        <v>44966</v>
      </c>
      <c r="B229" s="6">
        <v>2023</v>
      </c>
      <c r="C229" s="6">
        <v>2</v>
      </c>
      <c r="D229" s="6" t="s">
        <v>10</v>
      </c>
      <c r="E229" s="6" t="s">
        <v>13</v>
      </c>
      <c r="F229" s="6" t="s">
        <v>20</v>
      </c>
      <c r="G229" s="6">
        <v>16</v>
      </c>
      <c r="H229" s="6">
        <v>504</v>
      </c>
      <c r="I229" s="7">
        <v>327.60000000000002</v>
      </c>
      <c r="J229" s="6">
        <f>Sales_Data[[#This Row],[Quantity]]*Sales_Data[[#This Row],[Retail Price]]</f>
        <v>8064</v>
      </c>
      <c r="K229" s="6">
        <f>(Sales_Data[[#This Row],[Retail Price]]-Sales_Data[[#This Row],[Cost Price]])*Sales_Data[[#This Row],[Quantity]]</f>
        <v>2822.3999999999996</v>
      </c>
    </row>
    <row r="230" spans="1:11" x14ac:dyDescent="0.25">
      <c r="A230" s="5">
        <v>44628</v>
      </c>
      <c r="B230" s="6">
        <v>2022</v>
      </c>
      <c r="C230" s="6">
        <v>3</v>
      </c>
      <c r="D230" s="6" t="s">
        <v>10</v>
      </c>
      <c r="E230" s="6" t="s">
        <v>13</v>
      </c>
      <c r="F230" s="6" t="s">
        <v>19</v>
      </c>
      <c r="G230" s="6">
        <v>5</v>
      </c>
      <c r="H230" s="6">
        <v>1491</v>
      </c>
      <c r="I230" s="7">
        <v>1118.25</v>
      </c>
      <c r="J230" s="6">
        <f>Sales_Data[[#This Row],[Quantity]]*Sales_Data[[#This Row],[Retail Price]]</f>
        <v>7455</v>
      </c>
      <c r="K230" s="6">
        <f>(Sales_Data[[#This Row],[Retail Price]]-Sales_Data[[#This Row],[Cost Price]])*Sales_Data[[#This Row],[Quantity]]</f>
        <v>1863.75</v>
      </c>
    </row>
    <row r="231" spans="1:11" x14ac:dyDescent="0.25">
      <c r="A231" s="5">
        <v>44623</v>
      </c>
      <c r="B231" s="6">
        <v>2022</v>
      </c>
      <c r="C231" s="6">
        <v>3</v>
      </c>
      <c r="D231" s="6" t="s">
        <v>10</v>
      </c>
      <c r="E231" s="6" t="s">
        <v>14</v>
      </c>
      <c r="F231" s="6" t="s">
        <v>20</v>
      </c>
      <c r="G231" s="6">
        <v>6</v>
      </c>
      <c r="H231" s="6">
        <v>1601</v>
      </c>
      <c r="I231" s="7">
        <v>1024.6400000000001</v>
      </c>
      <c r="J231" s="6">
        <f>Sales_Data[[#This Row],[Quantity]]*Sales_Data[[#This Row],[Retail Price]]</f>
        <v>9606</v>
      </c>
      <c r="K231" s="6">
        <f>(Sales_Data[[#This Row],[Retail Price]]-Sales_Data[[#This Row],[Cost Price]])*Sales_Data[[#This Row],[Quantity]]</f>
        <v>3458.1599999999994</v>
      </c>
    </row>
    <row r="232" spans="1:11" x14ac:dyDescent="0.25">
      <c r="A232" s="5">
        <v>44945</v>
      </c>
      <c r="B232" s="6">
        <v>2023</v>
      </c>
      <c r="C232" s="6">
        <v>1</v>
      </c>
      <c r="D232" s="6" t="s">
        <v>12</v>
      </c>
      <c r="E232" s="6" t="s">
        <v>13</v>
      </c>
      <c r="F232" s="6" t="s">
        <v>18</v>
      </c>
      <c r="G232" s="6">
        <v>13</v>
      </c>
      <c r="H232" s="6">
        <v>1540</v>
      </c>
      <c r="I232" s="7">
        <v>970.2</v>
      </c>
      <c r="J232" s="6">
        <f>Sales_Data[[#This Row],[Quantity]]*Sales_Data[[#This Row],[Retail Price]]</f>
        <v>20020</v>
      </c>
      <c r="K232" s="6">
        <f>(Sales_Data[[#This Row],[Retail Price]]-Sales_Data[[#This Row],[Cost Price]])*Sales_Data[[#This Row],[Quantity]]</f>
        <v>7407.4</v>
      </c>
    </row>
    <row r="233" spans="1:11" x14ac:dyDescent="0.25">
      <c r="A233" s="5">
        <v>44605</v>
      </c>
      <c r="B233" s="6">
        <v>2022</v>
      </c>
      <c r="C233" s="6">
        <v>2</v>
      </c>
      <c r="D233" s="6" t="s">
        <v>10</v>
      </c>
      <c r="E233" s="6" t="s">
        <v>15</v>
      </c>
      <c r="F233" s="6" t="s">
        <v>19</v>
      </c>
      <c r="G233" s="6">
        <v>19</v>
      </c>
      <c r="H233" s="6">
        <v>1454</v>
      </c>
      <c r="I233" s="7">
        <v>901.48</v>
      </c>
      <c r="J233" s="6">
        <f>Sales_Data[[#This Row],[Quantity]]*Sales_Data[[#This Row],[Retail Price]]</f>
        <v>27626</v>
      </c>
      <c r="K233" s="6">
        <f>(Sales_Data[[#This Row],[Retail Price]]-Sales_Data[[#This Row],[Cost Price]])*Sales_Data[[#This Row],[Quantity]]</f>
        <v>10497.88</v>
      </c>
    </row>
    <row r="234" spans="1:11" x14ac:dyDescent="0.25">
      <c r="A234" s="5">
        <v>44994</v>
      </c>
      <c r="B234" s="6">
        <v>2023</v>
      </c>
      <c r="C234" s="6">
        <v>3</v>
      </c>
      <c r="D234" s="6" t="s">
        <v>11</v>
      </c>
      <c r="E234" s="6" t="s">
        <v>13</v>
      </c>
      <c r="F234" s="6" t="s">
        <v>17</v>
      </c>
      <c r="G234" s="6">
        <v>9</v>
      </c>
      <c r="H234" s="6">
        <v>1513</v>
      </c>
      <c r="I234" s="7">
        <v>1104.49</v>
      </c>
      <c r="J234" s="6">
        <f>Sales_Data[[#This Row],[Quantity]]*Sales_Data[[#This Row],[Retail Price]]</f>
        <v>13617</v>
      </c>
      <c r="K234" s="6">
        <f>(Sales_Data[[#This Row],[Retail Price]]-Sales_Data[[#This Row],[Cost Price]])*Sales_Data[[#This Row],[Quantity]]</f>
        <v>3676.59</v>
      </c>
    </row>
    <row r="235" spans="1:11" x14ac:dyDescent="0.25">
      <c r="A235" s="5">
        <v>44612</v>
      </c>
      <c r="B235" s="6">
        <v>2022</v>
      </c>
      <c r="C235" s="6">
        <v>2</v>
      </c>
      <c r="D235" s="6" t="s">
        <v>10</v>
      </c>
      <c r="E235" s="6" t="s">
        <v>15</v>
      </c>
      <c r="F235" s="6" t="s">
        <v>18</v>
      </c>
      <c r="G235" s="6">
        <v>14</v>
      </c>
      <c r="H235" s="6">
        <v>312</v>
      </c>
      <c r="I235" s="7">
        <v>199.68</v>
      </c>
      <c r="J235" s="6">
        <f>Sales_Data[[#This Row],[Quantity]]*Sales_Data[[#This Row],[Retail Price]]</f>
        <v>4368</v>
      </c>
      <c r="K235" s="6">
        <f>(Sales_Data[[#This Row],[Retail Price]]-Sales_Data[[#This Row],[Cost Price]])*Sales_Data[[#This Row],[Quantity]]</f>
        <v>1572.48</v>
      </c>
    </row>
    <row r="236" spans="1:11" x14ac:dyDescent="0.25">
      <c r="A236" s="5">
        <v>44966</v>
      </c>
      <c r="B236" s="6">
        <v>2023</v>
      </c>
      <c r="C236" s="6">
        <v>2</v>
      </c>
      <c r="D236" s="6" t="s">
        <v>9</v>
      </c>
      <c r="E236" s="6" t="s">
        <v>15</v>
      </c>
      <c r="F236" s="6" t="s">
        <v>17</v>
      </c>
      <c r="G236" s="6">
        <v>4</v>
      </c>
      <c r="H236" s="6">
        <v>1861</v>
      </c>
      <c r="I236" s="7">
        <v>1135.21</v>
      </c>
      <c r="J236" s="6">
        <f>Sales_Data[[#This Row],[Quantity]]*Sales_Data[[#This Row],[Retail Price]]</f>
        <v>7444</v>
      </c>
      <c r="K236" s="6">
        <f>(Sales_Data[[#This Row],[Retail Price]]-Sales_Data[[#This Row],[Cost Price]])*Sales_Data[[#This Row],[Quantity]]</f>
        <v>2903.16</v>
      </c>
    </row>
    <row r="237" spans="1:11" x14ac:dyDescent="0.25">
      <c r="A237" s="5">
        <v>44943</v>
      </c>
      <c r="B237" s="6">
        <v>2023</v>
      </c>
      <c r="C237" s="6">
        <v>1</v>
      </c>
      <c r="D237" s="6" t="s">
        <v>10</v>
      </c>
      <c r="E237" s="6" t="s">
        <v>14</v>
      </c>
      <c r="F237" s="6" t="s">
        <v>18</v>
      </c>
      <c r="G237" s="6">
        <v>3</v>
      </c>
      <c r="H237" s="6">
        <v>557</v>
      </c>
      <c r="I237" s="7">
        <v>428.89</v>
      </c>
      <c r="J237" s="6">
        <f>Sales_Data[[#This Row],[Quantity]]*Sales_Data[[#This Row],[Retail Price]]</f>
        <v>1671</v>
      </c>
      <c r="K237" s="6">
        <f>(Sales_Data[[#This Row],[Retail Price]]-Sales_Data[[#This Row],[Cost Price]])*Sales_Data[[#This Row],[Quantity]]</f>
        <v>384.33000000000004</v>
      </c>
    </row>
    <row r="238" spans="1:11" x14ac:dyDescent="0.25">
      <c r="A238" s="5">
        <v>44593</v>
      </c>
      <c r="B238" s="6">
        <v>2022</v>
      </c>
      <c r="C238" s="6">
        <v>2</v>
      </c>
      <c r="D238" s="6" t="s">
        <v>9</v>
      </c>
      <c r="E238" s="6" t="s">
        <v>13</v>
      </c>
      <c r="F238" s="6" t="s">
        <v>17</v>
      </c>
      <c r="G238" s="6">
        <v>13</v>
      </c>
      <c r="H238" s="6">
        <v>1789</v>
      </c>
      <c r="I238" s="7">
        <v>1144.96</v>
      </c>
      <c r="J238" s="6">
        <f>Sales_Data[[#This Row],[Quantity]]*Sales_Data[[#This Row],[Retail Price]]</f>
        <v>23257</v>
      </c>
      <c r="K238" s="6">
        <f>(Sales_Data[[#This Row],[Retail Price]]-Sales_Data[[#This Row],[Cost Price]])*Sales_Data[[#This Row],[Quantity]]</f>
        <v>8372.52</v>
      </c>
    </row>
    <row r="239" spans="1:11" x14ac:dyDescent="0.25">
      <c r="A239" s="5">
        <v>44613</v>
      </c>
      <c r="B239" s="6">
        <v>2022</v>
      </c>
      <c r="C239" s="6">
        <v>2</v>
      </c>
      <c r="D239" s="6" t="s">
        <v>10</v>
      </c>
      <c r="E239" s="6" t="s">
        <v>14</v>
      </c>
      <c r="F239" s="6" t="s">
        <v>20</v>
      </c>
      <c r="G239" s="6">
        <v>15</v>
      </c>
      <c r="H239" s="6">
        <v>325</v>
      </c>
      <c r="I239" s="7">
        <v>221</v>
      </c>
      <c r="J239" s="6">
        <f>Sales_Data[[#This Row],[Quantity]]*Sales_Data[[#This Row],[Retail Price]]</f>
        <v>4875</v>
      </c>
      <c r="K239" s="6">
        <f>(Sales_Data[[#This Row],[Retail Price]]-Sales_Data[[#This Row],[Cost Price]])*Sales_Data[[#This Row],[Quantity]]</f>
        <v>1560</v>
      </c>
    </row>
    <row r="240" spans="1:11" x14ac:dyDescent="0.25">
      <c r="A240" s="5">
        <v>44635</v>
      </c>
      <c r="B240" s="6">
        <v>2022</v>
      </c>
      <c r="C240" s="6">
        <v>3</v>
      </c>
      <c r="D240" s="6" t="s">
        <v>12</v>
      </c>
      <c r="E240" s="6" t="s">
        <v>13</v>
      </c>
      <c r="F240" s="6" t="s">
        <v>17</v>
      </c>
      <c r="G240" s="6">
        <v>10</v>
      </c>
      <c r="H240" s="6">
        <v>836</v>
      </c>
      <c r="I240" s="7">
        <v>501.6</v>
      </c>
      <c r="J240" s="6">
        <f>Sales_Data[[#This Row],[Quantity]]*Sales_Data[[#This Row],[Retail Price]]</f>
        <v>8360</v>
      </c>
      <c r="K240" s="6">
        <f>(Sales_Data[[#This Row],[Retail Price]]-Sales_Data[[#This Row],[Cost Price]])*Sales_Data[[#This Row],[Quantity]]</f>
        <v>3344</v>
      </c>
    </row>
    <row r="241" spans="1:11" x14ac:dyDescent="0.25">
      <c r="A241" s="5">
        <v>44989</v>
      </c>
      <c r="B241" s="6">
        <v>2023</v>
      </c>
      <c r="C241" s="6">
        <v>3</v>
      </c>
      <c r="D241" s="6" t="s">
        <v>10</v>
      </c>
      <c r="E241" s="6" t="s">
        <v>15</v>
      </c>
      <c r="F241" s="6" t="s">
        <v>20</v>
      </c>
      <c r="G241" s="6">
        <v>15</v>
      </c>
      <c r="H241" s="6">
        <v>444</v>
      </c>
      <c r="I241" s="7">
        <v>319.68</v>
      </c>
      <c r="J241" s="6">
        <f>Sales_Data[[#This Row],[Quantity]]*Sales_Data[[#This Row],[Retail Price]]</f>
        <v>6660</v>
      </c>
      <c r="K241" s="6">
        <f>(Sales_Data[[#This Row],[Retail Price]]-Sales_Data[[#This Row],[Cost Price]])*Sales_Data[[#This Row],[Quantity]]</f>
        <v>1864.8</v>
      </c>
    </row>
    <row r="242" spans="1:11" x14ac:dyDescent="0.25">
      <c r="A242" s="5">
        <v>44958</v>
      </c>
      <c r="B242" s="6">
        <v>2023</v>
      </c>
      <c r="C242" s="6">
        <v>2</v>
      </c>
      <c r="D242" s="6" t="s">
        <v>10</v>
      </c>
      <c r="E242" s="6" t="s">
        <v>13</v>
      </c>
      <c r="F242" s="6" t="s">
        <v>17</v>
      </c>
      <c r="G242" s="6">
        <v>9</v>
      </c>
      <c r="H242" s="6">
        <v>981</v>
      </c>
      <c r="I242" s="7">
        <v>745.56</v>
      </c>
      <c r="J242" s="6">
        <f>Sales_Data[[#This Row],[Quantity]]*Sales_Data[[#This Row],[Retail Price]]</f>
        <v>8829</v>
      </c>
      <c r="K242" s="6">
        <f>(Sales_Data[[#This Row],[Retail Price]]-Sales_Data[[#This Row],[Cost Price]])*Sales_Data[[#This Row],[Quantity]]</f>
        <v>2118.9600000000005</v>
      </c>
    </row>
    <row r="243" spans="1:11" x14ac:dyDescent="0.25">
      <c r="A243" s="5">
        <v>44946</v>
      </c>
      <c r="B243" s="6">
        <v>2023</v>
      </c>
      <c r="C243" s="6">
        <v>1</v>
      </c>
      <c r="D243" s="6" t="s">
        <v>9</v>
      </c>
      <c r="E243" s="6" t="s">
        <v>15</v>
      </c>
      <c r="F243" s="6" t="s">
        <v>19</v>
      </c>
      <c r="G243" s="6">
        <v>4</v>
      </c>
      <c r="H243" s="6">
        <v>1316</v>
      </c>
      <c r="I243" s="7">
        <v>815.92</v>
      </c>
      <c r="J243" s="6">
        <f>Sales_Data[[#This Row],[Quantity]]*Sales_Data[[#This Row],[Retail Price]]</f>
        <v>5264</v>
      </c>
      <c r="K243" s="6">
        <f>(Sales_Data[[#This Row],[Retail Price]]-Sales_Data[[#This Row],[Cost Price]])*Sales_Data[[#This Row],[Quantity]]</f>
        <v>2000.3200000000002</v>
      </c>
    </row>
    <row r="244" spans="1:11" x14ac:dyDescent="0.25">
      <c r="A244" s="5">
        <v>44576</v>
      </c>
      <c r="B244" s="6">
        <v>2022</v>
      </c>
      <c r="C244" s="6">
        <v>1</v>
      </c>
      <c r="D244" s="6" t="s">
        <v>10</v>
      </c>
      <c r="E244" s="6" t="s">
        <v>15</v>
      </c>
      <c r="F244" s="6" t="s">
        <v>19</v>
      </c>
      <c r="G244" s="6">
        <v>5</v>
      </c>
      <c r="H244" s="6">
        <v>126</v>
      </c>
      <c r="I244" s="7">
        <v>83.16</v>
      </c>
      <c r="J244" s="6">
        <f>Sales_Data[[#This Row],[Quantity]]*Sales_Data[[#This Row],[Retail Price]]</f>
        <v>630</v>
      </c>
      <c r="K244" s="6">
        <f>(Sales_Data[[#This Row],[Retail Price]]-Sales_Data[[#This Row],[Cost Price]])*Sales_Data[[#This Row],[Quantity]]</f>
        <v>214.20000000000002</v>
      </c>
    </row>
    <row r="245" spans="1:11" x14ac:dyDescent="0.25">
      <c r="A245" s="5">
        <v>44959</v>
      </c>
      <c r="B245" s="6">
        <v>2023</v>
      </c>
      <c r="C245" s="6">
        <v>2</v>
      </c>
      <c r="D245" s="6" t="s">
        <v>11</v>
      </c>
      <c r="E245" s="6" t="s">
        <v>15</v>
      </c>
      <c r="F245" s="6" t="s">
        <v>16</v>
      </c>
      <c r="G245" s="6">
        <v>10</v>
      </c>
      <c r="H245" s="6">
        <v>1666</v>
      </c>
      <c r="I245" s="7">
        <v>1066.24</v>
      </c>
      <c r="J245" s="6">
        <f>Sales_Data[[#This Row],[Quantity]]*Sales_Data[[#This Row],[Retail Price]]</f>
        <v>16660</v>
      </c>
      <c r="K245" s="6">
        <f>(Sales_Data[[#This Row],[Retail Price]]-Sales_Data[[#This Row],[Cost Price]])*Sales_Data[[#This Row],[Quantity]]</f>
        <v>5997.6</v>
      </c>
    </row>
    <row r="246" spans="1:11" x14ac:dyDescent="0.25">
      <c r="A246" s="5">
        <v>44581</v>
      </c>
      <c r="B246" s="6">
        <v>2022</v>
      </c>
      <c r="C246" s="6">
        <v>1</v>
      </c>
      <c r="D246" s="6" t="s">
        <v>10</v>
      </c>
      <c r="E246" s="6" t="s">
        <v>15</v>
      </c>
      <c r="F246" s="6" t="s">
        <v>20</v>
      </c>
      <c r="G246" s="6">
        <v>14</v>
      </c>
      <c r="H246" s="6">
        <v>1345</v>
      </c>
      <c r="I246" s="7">
        <v>954.95</v>
      </c>
      <c r="J246" s="6">
        <f>Sales_Data[[#This Row],[Quantity]]*Sales_Data[[#This Row],[Retail Price]]</f>
        <v>18830</v>
      </c>
      <c r="K246" s="6">
        <f>(Sales_Data[[#This Row],[Retail Price]]-Sales_Data[[#This Row],[Cost Price]])*Sales_Data[[#This Row],[Quantity]]</f>
        <v>5460.6999999999989</v>
      </c>
    </row>
    <row r="247" spans="1:11" x14ac:dyDescent="0.25">
      <c r="A247" s="5">
        <v>44976</v>
      </c>
      <c r="B247" s="6">
        <v>2023</v>
      </c>
      <c r="C247" s="6">
        <v>2</v>
      </c>
      <c r="D247" s="6" t="s">
        <v>12</v>
      </c>
      <c r="E247" s="6" t="s">
        <v>13</v>
      </c>
      <c r="F247" s="6" t="s">
        <v>20</v>
      </c>
      <c r="G247" s="6">
        <v>16</v>
      </c>
      <c r="H247" s="6">
        <v>108</v>
      </c>
      <c r="I247" s="7">
        <v>81</v>
      </c>
      <c r="J247" s="6">
        <f>Sales_Data[[#This Row],[Quantity]]*Sales_Data[[#This Row],[Retail Price]]</f>
        <v>1728</v>
      </c>
      <c r="K247" s="6">
        <f>(Sales_Data[[#This Row],[Retail Price]]-Sales_Data[[#This Row],[Cost Price]])*Sales_Data[[#This Row],[Quantity]]</f>
        <v>432</v>
      </c>
    </row>
    <row r="248" spans="1:11" x14ac:dyDescent="0.25">
      <c r="A248" s="5">
        <v>44643</v>
      </c>
      <c r="B248" s="6">
        <v>2022</v>
      </c>
      <c r="C248" s="6">
        <v>3</v>
      </c>
      <c r="D248" s="6" t="s">
        <v>12</v>
      </c>
      <c r="E248" s="6" t="s">
        <v>13</v>
      </c>
      <c r="F248" s="6" t="s">
        <v>20</v>
      </c>
      <c r="G248" s="6">
        <v>9</v>
      </c>
      <c r="H248" s="6">
        <v>1108</v>
      </c>
      <c r="I248" s="7">
        <v>886.4</v>
      </c>
      <c r="J248" s="6">
        <f>Sales_Data[[#This Row],[Quantity]]*Sales_Data[[#This Row],[Retail Price]]</f>
        <v>9972</v>
      </c>
      <c r="K248" s="6">
        <f>(Sales_Data[[#This Row],[Retail Price]]-Sales_Data[[#This Row],[Cost Price]])*Sales_Data[[#This Row],[Quantity]]</f>
        <v>1994.4</v>
      </c>
    </row>
    <row r="249" spans="1:11" x14ac:dyDescent="0.25">
      <c r="A249" s="5">
        <v>45008</v>
      </c>
      <c r="B249" s="6">
        <v>2023</v>
      </c>
      <c r="C249" s="6">
        <v>3</v>
      </c>
      <c r="D249" s="6" t="s">
        <v>11</v>
      </c>
      <c r="E249" s="6" t="s">
        <v>13</v>
      </c>
      <c r="F249" s="6" t="s">
        <v>19</v>
      </c>
      <c r="G249" s="6">
        <v>7</v>
      </c>
      <c r="H249" s="6">
        <v>861</v>
      </c>
      <c r="I249" s="7">
        <v>516.6</v>
      </c>
      <c r="J249" s="6">
        <f>Sales_Data[[#This Row],[Quantity]]*Sales_Data[[#This Row],[Retail Price]]</f>
        <v>6027</v>
      </c>
      <c r="K249" s="6">
        <f>(Sales_Data[[#This Row],[Retail Price]]-Sales_Data[[#This Row],[Cost Price]])*Sales_Data[[#This Row],[Quantity]]</f>
        <v>2410.7999999999997</v>
      </c>
    </row>
    <row r="250" spans="1:11" x14ac:dyDescent="0.25">
      <c r="A250" s="5">
        <v>44567</v>
      </c>
      <c r="B250" s="6">
        <v>2022</v>
      </c>
      <c r="C250" s="6">
        <v>1</v>
      </c>
      <c r="D250" s="6" t="s">
        <v>12</v>
      </c>
      <c r="E250" s="6" t="s">
        <v>15</v>
      </c>
      <c r="F250" s="6" t="s">
        <v>17</v>
      </c>
      <c r="G250" s="6">
        <v>16</v>
      </c>
      <c r="H250" s="6">
        <v>1031</v>
      </c>
      <c r="I250" s="7">
        <v>670.15</v>
      </c>
      <c r="J250" s="6">
        <f>Sales_Data[[#This Row],[Quantity]]*Sales_Data[[#This Row],[Retail Price]]</f>
        <v>16496</v>
      </c>
      <c r="K250" s="6">
        <f>(Sales_Data[[#This Row],[Retail Price]]-Sales_Data[[#This Row],[Cost Price]])*Sales_Data[[#This Row],[Quantity]]</f>
        <v>5773.6</v>
      </c>
    </row>
    <row r="251" spans="1:11" x14ac:dyDescent="0.25">
      <c r="A251" s="8">
        <v>44949</v>
      </c>
      <c r="B251" s="9">
        <v>2023</v>
      </c>
      <c r="C251" s="9">
        <v>1</v>
      </c>
      <c r="D251" s="9" t="s">
        <v>9</v>
      </c>
      <c r="E251" s="9" t="s">
        <v>13</v>
      </c>
      <c r="F251" s="9" t="s">
        <v>20</v>
      </c>
      <c r="G251" s="9">
        <v>11</v>
      </c>
      <c r="H251" s="9">
        <v>1478</v>
      </c>
      <c r="I251" s="10">
        <v>901.58</v>
      </c>
      <c r="J251" s="9">
        <f>Sales_Data[[#This Row],[Quantity]]*Sales_Data[[#This Row],[Retail Price]]</f>
        <v>16258</v>
      </c>
      <c r="K251" s="9">
        <f>(Sales_Data[[#This Row],[Retail Price]]-Sales_Data[[#This Row],[Cost Price]])*Sales_Data[[#This Row],[Quantity]]</f>
        <v>6340.62</v>
      </c>
    </row>
    <row r="252" spans="1:11" x14ac:dyDescent="0.25">
      <c r="A252" s="1"/>
    </row>
    <row r="253" spans="1:11" x14ac:dyDescent="0.25">
      <c r="A253" s="1"/>
    </row>
    <row r="254" spans="1:11" x14ac:dyDescent="0.25">
      <c r="A254" s="1"/>
    </row>
    <row r="255" spans="1:11" x14ac:dyDescent="0.25">
      <c r="A255" s="1"/>
    </row>
    <row r="256" spans="1: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sheetData>
  <mergeCells count="1">
    <mergeCell ref="Q4:R4"/>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4100-CB30-42E2-83D0-2C1E5D87C101}">
  <dimension ref="B1:AH33"/>
  <sheetViews>
    <sheetView showGridLines="0" zoomScaleNormal="100" workbookViewId="0">
      <selection activeCell="A15" sqref="A15"/>
    </sheetView>
  </sheetViews>
  <sheetFormatPr defaultRowHeight="15" x14ac:dyDescent="0.25"/>
  <cols>
    <col min="1" max="1" width="24.42578125" customWidth="1"/>
    <col min="2" max="2" width="27.7109375" bestFit="1" customWidth="1"/>
    <col min="3" max="3" width="27.7109375" customWidth="1"/>
    <col min="4" max="4" width="24.85546875" customWidth="1"/>
    <col min="26" max="26" width="13.42578125" bestFit="1" customWidth="1"/>
    <col min="27" max="27" width="15.85546875" bestFit="1" customWidth="1"/>
  </cols>
  <sheetData>
    <row r="1" spans="2:34" x14ac:dyDescent="0.25">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row>
    <row r="2" spans="2:34" x14ac:dyDescent="0.25">
      <c r="B2" s="17"/>
      <c r="C2" s="17"/>
      <c r="D2" s="17"/>
      <c r="E2" s="18"/>
      <c r="F2" s="18"/>
      <c r="G2" s="18"/>
      <c r="H2" s="18"/>
      <c r="I2" s="18"/>
      <c r="J2" s="18"/>
      <c r="K2" s="18"/>
      <c r="L2" s="18"/>
      <c r="M2" s="18"/>
      <c r="N2" s="18"/>
      <c r="O2" s="18"/>
      <c r="P2" s="18"/>
      <c r="Q2" s="18"/>
      <c r="R2" s="18"/>
      <c r="S2" s="18"/>
      <c r="T2" s="18"/>
      <c r="U2" s="18"/>
      <c r="V2" s="18"/>
      <c r="W2" s="18"/>
      <c r="X2" s="18"/>
      <c r="Y2" s="18"/>
      <c r="Z2" s="18"/>
      <c r="AA2" s="18"/>
      <c r="AB2" s="18"/>
      <c r="AC2" s="18"/>
      <c r="AD2" s="17"/>
      <c r="AE2" s="17"/>
      <c r="AF2" s="17"/>
      <c r="AG2" s="17"/>
      <c r="AH2" s="17"/>
    </row>
    <row r="3" spans="2:34" x14ac:dyDescent="0.25">
      <c r="B3" s="17"/>
      <c r="C3" s="17"/>
      <c r="D3" s="17"/>
      <c r="E3" s="18"/>
      <c r="F3" s="18"/>
      <c r="G3" s="18"/>
      <c r="H3" s="18"/>
      <c r="I3" s="22" t="s">
        <v>35</v>
      </c>
      <c r="J3" s="23"/>
      <c r="K3" s="23"/>
      <c r="L3" s="23"/>
      <c r="M3" s="23"/>
      <c r="N3" s="23"/>
      <c r="O3" s="23"/>
      <c r="P3" s="23"/>
      <c r="Q3" s="18"/>
      <c r="R3" s="18"/>
      <c r="S3" s="18"/>
      <c r="T3" s="18"/>
      <c r="U3" s="18"/>
      <c r="V3" s="18"/>
      <c r="W3" s="18"/>
      <c r="X3" s="18"/>
      <c r="Y3" s="18"/>
      <c r="Z3" s="18"/>
      <c r="AA3" s="18"/>
      <c r="AB3" s="18"/>
      <c r="AC3" s="18"/>
      <c r="AD3" s="17"/>
      <c r="AE3" s="17"/>
      <c r="AF3" s="17"/>
      <c r="AG3" s="17"/>
      <c r="AH3" s="17"/>
    </row>
    <row r="4" spans="2:34" x14ac:dyDescent="0.25">
      <c r="B4" s="17"/>
      <c r="C4" s="17"/>
      <c r="D4" s="17"/>
      <c r="E4" s="18"/>
      <c r="F4" s="18"/>
      <c r="G4" s="18"/>
      <c r="H4" s="18"/>
      <c r="I4" s="23"/>
      <c r="J4" s="23"/>
      <c r="K4" s="23"/>
      <c r="L4" s="23"/>
      <c r="M4" s="23"/>
      <c r="N4" s="23"/>
      <c r="O4" s="23"/>
      <c r="P4" s="23"/>
      <c r="Q4" s="18"/>
      <c r="R4" s="18"/>
      <c r="S4" s="18"/>
      <c r="T4" s="18"/>
      <c r="U4" s="18"/>
      <c r="V4" s="18"/>
      <c r="W4" s="18"/>
      <c r="X4" s="18"/>
      <c r="Y4" s="18"/>
      <c r="Z4" s="18"/>
      <c r="AA4" s="18"/>
      <c r="AB4" s="18"/>
      <c r="AC4" s="18"/>
      <c r="AD4" s="17"/>
      <c r="AE4" s="17"/>
      <c r="AF4" s="17"/>
      <c r="AG4" s="17"/>
      <c r="AH4" s="17"/>
    </row>
    <row r="5" spans="2:34" x14ac:dyDescent="0.25">
      <c r="B5" s="17"/>
      <c r="C5" s="17"/>
      <c r="D5" s="17"/>
      <c r="E5" s="18"/>
      <c r="F5" s="18"/>
      <c r="G5" s="18"/>
      <c r="H5" s="18"/>
      <c r="I5" s="18"/>
      <c r="J5" s="18"/>
      <c r="K5" s="18"/>
      <c r="L5" s="18"/>
      <c r="M5" s="18"/>
      <c r="N5" s="18"/>
      <c r="O5" s="18"/>
      <c r="P5" s="18"/>
      <c r="Q5" s="18"/>
      <c r="R5" s="18"/>
      <c r="S5" s="18"/>
      <c r="T5" s="18"/>
      <c r="U5" s="18"/>
      <c r="V5" s="18"/>
      <c r="W5" s="18"/>
      <c r="X5" s="18"/>
      <c r="Y5" s="18"/>
      <c r="Z5" s="18"/>
      <c r="AA5" s="18"/>
      <c r="AB5" s="18"/>
      <c r="AC5" s="18"/>
      <c r="AD5" s="17"/>
      <c r="AE5" s="17"/>
      <c r="AF5" s="17"/>
      <c r="AG5" s="17"/>
      <c r="AH5" s="17"/>
    </row>
    <row r="6" spans="2:34" x14ac:dyDescent="0.25">
      <c r="B6" s="17"/>
      <c r="C6" s="17"/>
      <c r="D6" s="17"/>
      <c r="E6" s="18"/>
      <c r="F6" s="18"/>
      <c r="G6" s="18"/>
      <c r="H6" s="18"/>
      <c r="I6" s="18"/>
      <c r="J6" s="18"/>
      <c r="K6" s="18"/>
      <c r="L6" s="18"/>
      <c r="M6" s="18"/>
      <c r="N6" s="18"/>
      <c r="O6" s="18"/>
      <c r="P6" s="18"/>
      <c r="Q6" s="18"/>
      <c r="R6" s="18"/>
      <c r="S6" s="18"/>
      <c r="T6" s="18"/>
      <c r="U6" s="18"/>
      <c r="V6" s="18"/>
      <c r="W6" s="18"/>
      <c r="X6" s="18"/>
      <c r="Y6" s="18"/>
      <c r="Z6" s="18"/>
      <c r="AA6" s="18"/>
      <c r="AB6" s="18"/>
      <c r="AC6" s="18"/>
      <c r="AD6" s="17"/>
      <c r="AE6" s="17"/>
      <c r="AF6" s="17"/>
      <c r="AG6" s="17"/>
      <c r="AH6" s="17"/>
    </row>
    <row r="7" spans="2:34" x14ac:dyDescent="0.25">
      <c r="B7" s="17"/>
      <c r="C7" s="17"/>
      <c r="D7" s="17"/>
      <c r="E7" s="18"/>
      <c r="F7" s="18"/>
      <c r="G7" s="18"/>
      <c r="H7" s="18"/>
      <c r="I7" s="18"/>
      <c r="J7" s="18"/>
      <c r="K7" s="18"/>
      <c r="L7" s="18"/>
      <c r="M7" s="18"/>
      <c r="N7" s="18"/>
      <c r="O7" s="18"/>
      <c r="P7" s="18"/>
      <c r="Q7" s="18"/>
      <c r="R7" s="18"/>
      <c r="S7" s="18"/>
      <c r="T7" s="18"/>
      <c r="U7" s="18"/>
      <c r="V7" s="18"/>
      <c r="W7" s="18"/>
      <c r="X7" s="18"/>
      <c r="Y7" s="18"/>
      <c r="Z7" s="18"/>
      <c r="AA7" s="18"/>
      <c r="AB7" s="18"/>
      <c r="AC7" s="18"/>
      <c r="AD7" s="17"/>
      <c r="AE7" s="17"/>
      <c r="AF7" s="17"/>
      <c r="AG7" s="17"/>
      <c r="AH7" s="17"/>
    </row>
    <row r="8" spans="2:34" x14ac:dyDescent="0.25">
      <c r="B8" s="17"/>
      <c r="C8" s="17"/>
      <c r="D8" s="17"/>
      <c r="E8" s="18"/>
      <c r="F8" s="18"/>
      <c r="G8" s="18"/>
      <c r="H8" s="18"/>
      <c r="I8" s="18"/>
      <c r="J8" s="18"/>
      <c r="K8" s="18"/>
      <c r="L8" s="18"/>
      <c r="M8" s="18"/>
      <c r="N8" s="18"/>
      <c r="O8" s="18"/>
      <c r="P8" s="18"/>
      <c r="Q8" s="18"/>
      <c r="R8" s="18"/>
      <c r="S8" s="18"/>
      <c r="T8" s="18"/>
      <c r="U8" s="18"/>
      <c r="V8" s="18"/>
      <c r="W8" s="18"/>
      <c r="X8" s="18"/>
      <c r="Y8" s="18"/>
      <c r="Z8" s="18"/>
      <c r="AA8" s="18"/>
      <c r="AB8" s="18"/>
      <c r="AC8" s="18"/>
      <c r="AD8" s="17"/>
      <c r="AE8" s="17"/>
      <c r="AF8" s="17"/>
      <c r="AG8" s="17"/>
      <c r="AH8" s="17"/>
    </row>
    <row r="9" spans="2:34" x14ac:dyDescent="0.25">
      <c r="B9" s="17"/>
      <c r="C9" s="17"/>
      <c r="D9" s="17"/>
      <c r="E9" s="18"/>
      <c r="F9" s="18"/>
      <c r="G9" s="18"/>
      <c r="H9" s="18"/>
      <c r="I9" s="18"/>
      <c r="J9" s="18"/>
      <c r="K9" s="18"/>
      <c r="L9" s="18"/>
      <c r="M9" s="18"/>
      <c r="N9" s="18"/>
      <c r="O9" s="18"/>
      <c r="P9" s="18"/>
      <c r="Q9" s="18"/>
      <c r="R9" s="18"/>
      <c r="S9" s="18"/>
      <c r="T9" s="18"/>
      <c r="U9" s="18"/>
      <c r="V9" s="18"/>
      <c r="W9" s="18"/>
      <c r="X9" s="18"/>
      <c r="Y9" s="18"/>
      <c r="Z9" s="18"/>
      <c r="AA9" s="18"/>
      <c r="AB9" s="18"/>
      <c r="AC9" s="18"/>
      <c r="AD9" s="17"/>
      <c r="AE9" s="17"/>
      <c r="AF9" s="17"/>
      <c r="AG9" s="17"/>
      <c r="AH9" s="17"/>
    </row>
    <row r="10" spans="2:34" x14ac:dyDescent="0.25">
      <c r="B10" s="17"/>
      <c r="C10" s="17"/>
      <c r="D10" s="17"/>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7"/>
      <c r="AE10" s="17"/>
      <c r="AF10" s="17"/>
      <c r="AG10" s="17"/>
      <c r="AH10" s="17"/>
    </row>
    <row r="11" spans="2:34" x14ac:dyDescent="0.25">
      <c r="B11" s="17"/>
      <c r="C11" s="17"/>
      <c r="D11" s="17"/>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7"/>
      <c r="AE11" s="17"/>
      <c r="AF11" s="17"/>
      <c r="AG11" s="17"/>
      <c r="AH11" s="17"/>
    </row>
    <row r="12" spans="2:34" x14ac:dyDescent="0.25">
      <c r="B12" s="17"/>
      <c r="C12" s="17"/>
      <c r="D12" s="17"/>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7"/>
      <c r="AE12" s="17"/>
      <c r="AF12" s="17"/>
      <c r="AG12" s="17"/>
      <c r="AH12" s="17"/>
    </row>
    <row r="13" spans="2:34" x14ac:dyDescent="0.25">
      <c r="B13" s="17"/>
      <c r="C13" s="17"/>
      <c r="D13" s="17"/>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7"/>
      <c r="AE13" s="17"/>
      <c r="AF13" s="17"/>
      <c r="AG13" s="17"/>
      <c r="AH13" s="17"/>
    </row>
    <row r="14" spans="2:34" x14ac:dyDescent="0.25">
      <c r="B14" s="17"/>
      <c r="C14" s="17"/>
      <c r="D14" s="17"/>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7"/>
      <c r="AE14" s="17"/>
      <c r="AF14" s="17"/>
      <c r="AG14" s="17"/>
      <c r="AH14" s="17"/>
    </row>
    <row r="15" spans="2:34" x14ac:dyDescent="0.25">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F15" s="17"/>
      <c r="AG15" s="17"/>
      <c r="AH15" s="17"/>
    </row>
    <row r="16" spans="2:34" x14ac:dyDescent="0.25">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7"/>
      <c r="AE16" s="17"/>
      <c r="AF16" s="17"/>
      <c r="AG16" s="17"/>
      <c r="AH16" s="17"/>
    </row>
    <row r="17" spans="5:34" x14ac:dyDescent="0.25">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9"/>
      <c r="AE17" s="17"/>
      <c r="AF17" s="17"/>
      <c r="AG17" s="17"/>
      <c r="AH17" s="17"/>
    </row>
    <row r="18" spans="5:34" x14ac:dyDescent="0.25">
      <c r="E18" s="18"/>
      <c r="F18" s="18"/>
      <c r="G18" s="18"/>
      <c r="H18" s="18"/>
      <c r="I18" s="18"/>
      <c r="J18" s="18"/>
      <c r="K18" s="18"/>
      <c r="L18" s="18"/>
      <c r="M18" s="18"/>
      <c r="N18" s="18"/>
      <c r="O18" s="18"/>
      <c r="P18" s="18"/>
      <c r="Q18" s="18"/>
      <c r="R18" s="18"/>
      <c r="S18" s="18"/>
      <c r="T18" s="18"/>
      <c r="U18" s="18"/>
      <c r="V18" s="21"/>
      <c r="W18" s="21"/>
      <c r="X18" s="21"/>
      <c r="Y18" s="21"/>
      <c r="Z18" s="21"/>
      <c r="AA18" s="21"/>
      <c r="AB18" s="21"/>
      <c r="AC18" s="21"/>
      <c r="AD18" s="17"/>
      <c r="AE18" s="17"/>
      <c r="AF18" s="17"/>
      <c r="AG18" s="17"/>
      <c r="AH18" s="17"/>
    </row>
    <row r="19" spans="5:34" x14ac:dyDescent="0.25">
      <c r="E19" s="18"/>
      <c r="F19" s="18"/>
      <c r="G19" s="18"/>
      <c r="H19" s="18"/>
      <c r="I19" s="18"/>
      <c r="J19" s="18"/>
      <c r="K19" s="18"/>
      <c r="L19" s="18"/>
      <c r="M19" s="18"/>
      <c r="N19" s="18"/>
      <c r="O19" s="18"/>
      <c r="P19" s="18"/>
      <c r="Q19" s="18"/>
      <c r="R19" s="18"/>
      <c r="S19" s="18"/>
      <c r="T19" s="18"/>
      <c r="U19" s="18"/>
      <c r="V19" s="21"/>
      <c r="W19" s="21"/>
      <c r="X19" s="21"/>
      <c r="Y19" s="21"/>
      <c r="Z19" s="21"/>
      <c r="AA19" s="21"/>
      <c r="AB19" s="21"/>
      <c r="AC19" s="21"/>
      <c r="AD19" s="17"/>
      <c r="AE19" s="17"/>
      <c r="AF19" s="17"/>
      <c r="AG19" s="17"/>
      <c r="AH19" s="17"/>
    </row>
    <row r="20" spans="5:34" x14ac:dyDescent="0.25">
      <c r="E20" s="18"/>
      <c r="F20" s="18"/>
      <c r="G20" s="18"/>
      <c r="H20" s="18"/>
      <c r="I20" s="18"/>
      <c r="J20" s="18"/>
      <c r="K20" s="18"/>
      <c r="L20" s="18"/>
      <c r="M20" s="18"/>
      <c r="N20" s="18"/>
      <c r="O20" s="18"/>
      <c r="P20" s="18"/>
      <c r="Q20" s="18"/>
      <c r="R20" s="18"/>
      <c r="S20" s="18"/>
      <c r="T20" s="18"/>
      <c r="U20" s="18"/>
      <c r="V20" s="21"/>
      <c r="W20" s="21"/>
      <c r="X20" s="21"/>
      <c r="Y20" s="21"/>
      <c r="Z20" s="21"/>
      <c r="AA20" s="21"/>
      <c r="AB20" s="21"/>
      <c r="AC20" s="21"/>
      <c r="AD20" s="17" t="s">
        <v>32</v>
      </c>
      <c r="AE20" s="17"/>
      <c r="AF20" s="17"/>
      <c r="AG20" s="17"/>
      <c r="AH20" s="17"/>
    </row>
    <row r="21" spans="5:34" x14ac:dyDescent="0.25">
      <c r="E21" s="18"/>
      <c r="F21" s="18"/>
      <c r="G21" s="18"/>
      <c r="H21" s="18"/>
      <c r="I21" s="18"/>
      <c r="J21" s="18"/>
      <c r="K21" s="18"/>
      <c r="L21" s="18"/>
      <c r="M21" s="18"/>
      <c r="N21" s="18"/>
      <c r="O21" s="18"/>
      <c r="P21" s="18"/>
      <c r="Q21" s="18"/>
      <c r="R21" s="18"/>
      <c r="S21" s="18"/>
      <c r="T21" s="18"/>
      <c r="U21" s="18"/>
      <c r="V21" s="17"/>
      <c r="W21" s="17"/>
      <c r="X21" s="17"/>
      <c r="Y21" s="17"/>
      <c r="Z21" s="17"/>
      <c r="AA21" s="17"/>
      <c r="AB21" s="17"/>
      <c r="AC21" s="17"/>
      <c r="AD21" s="17"/>
      <c r="AE21" s="17"/>
      <c r="AF21" s="17"/>
      <c r="AG21" s="17"/>
      <c r="AH21" s="17"/>
    </row>
    <row r="22" spans="5:34" x14ac:dyDescent="0.25">
      <c r="E22" s="18"/>
      <c r="F22" s="18"/>
      <c r="G22" s="18"/>
      <c r="H22" s="18"/>
      <c r="I22" s="18"/>
      <c r="J22" s="18"/>
      <c r="K22" s="18"/>
      <c r="L22" s="18"/>
      <c r="M22" s="18"/>
      <c r="N22" s="18"/>
      <c r="O22" s="18"/>
      <c r="P22" s="18"/>
      <c r="Q22" s="18"/>
      <c r="R22" s="18"/>
      <c r="S22" s="18"/>
      <c r="T22" s="18"/>
      <c r="U22" s="18"/>
      <c r="V22" s="17"/>
      <c r="W22" s="17"/>
      <c r="X22" s="17"/>
      <c r="Y22" s="17"/>
      <c r="Z22" s="17"/>
      <c r="AA22" s="17"/>
      <c r="AB22" s="17"/>
      <c r="AC22" s="17"/>
      <c r="AD22" s="17"/>
      <c r="AE22" s="17"/>
      <c r="AF22" s="17"/>
      <c r="AG22" s="17"/>
      <c r="AH22" s="17"/>
    </row>
    <row r="23" spans="5:34" x14ac:dyDescent="0.25">
      <c r="E23" s="18"/>
      <c r="F23" s="18"/>
      <c r="G23" s="18"/>
      <c r="H23" s="18"/>
      <c r="I23" s="18"/>
      <c r="J23" s="18"/>
      <c r="K23" s="18"/>
      <c r="L23" s="18"/>
      <c r="M23" s="18"/>
      <c r="N23" s="18"/>
      <c r="O23" s="18"/>
      <c r="P23" s="18"/>
      <c r="Q23" s="18"/>
      <c r="R23" s="18"/>
      <c r="S23" s="18"/>
      <c r="T23" s="18"/>
      <c r="U23" s="18"/>
      <c r="V23" s="17"/>
      <c r="W23" s="17"/>
      <c r="X23" s="17"/>
      <c r="Y23" s="17"/>
      <c r="Z23" s="17"/>
      <c r="AA23" s="17"/>
      <c r="AB23" s="17"/>
      <c r="AC23" s="17"/>
      <c r="AD23" s="17"/>
      <c r="AE23" s="17"/>
      <c r="AF23" s="17"/>
      <c r="AG23" s="17"/>
      <c r="AH23" s="17"/>
    </row>
    <row r="24" spans="5:34" x14ac:dyDescent="0.25">
      <c r="E24" s="18"/>
      <c r="F24" s="18"/>
      <c r="G24" s="18"/>
      <c r="H24" s="18"/>
      <c r="I24" s="18"/>
      <c r="J24" s="18"/>
      <c r="K24" s="18"/>
      <c r="L24" s="18"/>
      <c r="M24" s="18"/>
      <c r="N24" s="18"/>
      <c r="O24" s="18"/>
      <c r="P24" s="18"/>
      <c r="Q24" s="18"/>
      <c r="R24" s="18"/>
      <c r="S24" s="18"/>
      <c r="T24" s="18"/>
      <c r="U24" s="18"/>
      <c r="V24" s="17"/>
      <c r="W24" s="17"/>
      <c r="X24" s="17"/>
      <c r="Y24" s="17"/>
      <c r="Z24" s="17"/>
      <c r="AA24" s="17"/>
      <c r="AB24" s="17"/>
      <c r="AC24" s="17"/>
      <c r="AD24" s="17"/>
      <c r="AE24" s="17"/>
      <c r="AF24" s="17"/>
      <c r="AG24" s="17"/>
      <c r="AH24" s="17"/>
    </row>
    <row r="25" spans="5:34" x14ac:dyDescent="0.25">
      <c r="E25" s="18"/>
      <c r="F25" s="18"/>
      <c r="G25" s="18"/>
      <c r="H25" s="18"/>
      <c r="I25" s="18"/>
      <c r="J25" s="18"/>
      <c r="K25" s="18"/>
      <c r="L25" s="18"/>
      <c r="M25" s="18"/>
      <c r="N25" s="18"/>
      <c r="O25" s="18"/>
      <c r="P25" s="18"/>
      <c r="Q25" s="18"/>
      <c r="R25" s="18"/>
      <c r="S25" s="18"/>
      <c r="T25" s="18"/>
      <c r="U25" s="18"/>
      <c r="V25" s="17"/>
      <c r="W25" s="17"/>
      <c r="X25" s="17"/>
      <c r="Y25" s="17"/>
      <c r="Z25" s="17"/>
      <c r="AA25" s="17"/>
      <c r="AB25" s="17"/>
      <c r="AC25" s="17"/>
      <c r="AD25" s="17"/>
      <c r="AE25" s="17"/>
      <c r="AF25" s="17"/>
      <c r="AG25" s="17"/>
      <c r="AH25" s="17"/>
    </row>
    <row r="26" spans="5:34" x14ac:dyDescent="0.25">
      <c r="E26" s="18"/>
      <c r="F26" s="18"/>
      <c r="G26" s="18"/>
      <c r="H26" s="18"/>
      <c r="I26" s="18"/>
      <c r="J26" s="18"/>
      <c r="K26" s="18"/>
      <c r="L26" s="18"/>
      <c r="M26" s="18"/>
      <c r="N26" s="18"/>
      <c r="O26" s="18"/>
      <c r="P26" s="18"/>
      <c r="Q26" s="18"/>
      <c r="R26" s="18"/>
      <c r="S26" s="18"/>
      <c r="T26" s="18"/>
      <c r="U26" s="18"/>
      <c r="V26" s="17"/>
      <c r="W26" s="17"/>
      <c r="X26" s="17"/>
      <c r="Y26" s="17"/>
      <c r="Z26" s="17"/>
      <c r="AA26" s="17"/>
      <c r="AB26" s="17"/>
      <c r="AC26" s="17"/>
      <c r="AD26" s="17"/>
      <c r="AE26" s="17"/>
      <c r="AF26" s="17"/>
      <c r="AG26" s="17"/>
      <c r="AH26" s="17"/>
    </row>
    <row r="27" spans="5:34" x14ac:dyDescent="0.25">
      <c r="E27" s="18"/>
      <c r="F27" s="18"/>
      <c r="G27" s="18"/>
      <c r="H27" s="18"/>
      <c r="I27" s="18"/>
      <c r="J27" s="18"/>
      <c r="K27" s="18"/>
      <c r="L27" s="18"/>
      <c r="M27" s="18"/>
      <c r="N27" s="18"/>
      <c r="O27" s="18"/>
      <c r="P27" s="18"/>
      <c r="Q27" s="18"/>
      <c r="R27" s="18"/>
      <c r="S27" s="18"/>
      <c r="T27" s="18"/>
      <c r="U27" s="18"/>
      <c r="V27" s="17"/>
      <c r="W27" s="17"/>
      <c r="X27" s="17"/>
      <c r="Y27" s="17"/>
      <c r="Z27" s="17"/>
      <c r="AA27" s="17"/>
      <c r="AB27" s="17"/>
      <c r="AC27" s="17"/>
      <c r="AD27" s="17"/>
      <c r="AE27" s="17"/>
      <c r="AF27" s="17"/>
      <c r="AG27" s="17"/>
      <c r="AH27" s="17"/>
    </row>
    <row r="28" spans="5:34" x14ac:dyDescent="0.25">
      <c r="E28" s="18"/>
      <c r="F28" s="18"/>
      <c r="G28" s="18"/>
      <c r="H28" s="18"/>
      <c r="I28" s="18"/>
      <c r="J28" s="18"/>
      <c r="K28" s="18"/>
      <c r="L28" s="18"/>
      <c r="M28" s="18"/>
      <c r="N28" s="18"/>
      <c r="O28" s="18"/>
      <c r="P28" s="18"/>
      <c r="Q28" s="18"/>
      <c r="R28" s="18"/>
      <c r="S28" s="18"/>
      <c r="T28" s="18"/>
      <c r="U28" s="18"/>
      <c r="V28" s="17"/>
      <c r="W28" s="17"/>
      <c r="X28" s="17"/>
      <c r="Y28" s="17"/>
      <c r="Z28" s="17"/>
      <c r="AA28" s="17"/>
      <c r="AB28" s="17"/>
      <c r="AC28" s="17"/>
      <c r="AD28" s="17"/>
      <c r="AE28" s="17"/>
      <c r="AF28" s="17"/>
      <c r="AG28" s="17"/>
      <c r="AH28" s="17"/>
    </row>
    <row r="29" spans="5:34" x14ac:dyDescent="0.25">
      <c r="E29" s="18"/>
      <c r="F29" s="18"/>
      <c r="G29" s="18"/>
      <c r="H29" s="18"/>
      <c r="I29" s="18"/>
      <c r="J29" s="18"/>
      <c r="K29" s="18"/>
      <c r="L29" s="18"/>
      <c r="M29" s="18"/>
      <c r="N29" s="18"/>
      <c r="O29" s="18"/>
      <c r="P29" s="18"/>
      <c r="Q29" s="18"/>
      <c r="R29" s="18"/>
      <c r="S29" s="18"/>
      <c r="T29" s="18"/>
      <c r="U29" s="18"/>
      <c r="V29" s="17"/>
      <c r="W29" s="17"/>
      <c r="X29" s="17"/>
      <c r="Y29" s="17"/>
      <c r="Z29" s="17"/>
      <c r="AA29" s="17"/>
      <c r="AB29" s="17"/>
      <c r="AC29" s="17"/>
      <c r="AD29" s="17"/>
      <c r="AE29" s="17"/>
      <c r="AF29" s="17"/>
      <c r="AG29" s="17"/>
      <c r="AH29" s="17"/>
    </row>
    <row r="30" spans="5:34" x14ac:dyDescent="0.25">
      <c r="E30" s="18"/>
      <c r="F30" s="18"/>
      <c r="G30" s="18"/>
      <c r="H30" s="18"/>
      <c r="I30" s="18"/>
      <c r="J30" s="18"/>
      <c r="K30" s="18"/>
      <c r="L30" s="18"/>
      <c r="M30" s="18"/>
      <c r="N30" s="18"/>
      <c r="O30" s="18"/>
      <c r="P30" s="18"/>
      <c r="Q30" s="18"/>
      <c r="R30" s="18"/>
      <c r="S30" s="18"/>
      <c r="T30" s="18"/>
      <c r="U30" s="18"/>
      <c r="V30" s="17"/>
      <c r="W30" s="17"/>
      <c r="X30" s="17"/>
      <c r="Y30" s="17"/>
      <c r="Z30" s="17"/>
      <c r="AA30" s="17"/>
      <c r="AB30" s="17"/>
      <c r="AC30" s="17"/>
      <c r="AD30" s="17"/>
      <c r="AE30" s="17"/>
      <c r="AF30" s="17"/>
      <c r="AG30" s="17"/>
      <c r="AH30" s="17"/>
    </row>
    <row r="31" spans="5:34" x14ac:dyDescent="0.25">
      <c r="E31" s="18"/>
      <c r="F31" s="18"/>
      <c r="G31" s="18"/>
      <c r="H31" s="18"/>
      <c r="I31" s="18"/>
      <c r="J31" s="18"/>
      <c r="K31" s="18"/>
      <c r="L31" s="18"/>
      <c r="M31" s="18"/>
      <c r="N31" s="18"/>
      <c r="O31" s="18"/>
      <c r="P31" s="18"/>
      <c r="Q31" s="18"/>
      <c r="R31" s="18"/>
      <c r="S31" s="18"/>
      <c r="T31" s="18"/>
      <c r="U31" s="18"/>
      <c r="V31" s="17"/>
      <c r="W31" s="17"/>
      <c r="X31" s="17"/>
      <c r="Y31" s="17"/>
      <c r="Z31" s="17"/>
      <c r="AA31" s="17"/>
      <c r="AB31" s="17"/>
      <c r="AC31" s="17"/>
      <c r="AD31" s="17"/>
      <c r="AE31" s="17"/>
      <c r="AF31" s="17"/>
      <c r="AG31" s="17"/>
      <c r="AH31" s="17"/>
    </row>
    <row r="32" spans="5:34" x14ac:dyDescent="0.25">
      <c r="E32" s="18"/>
      <c r="F32" s="18"/>
      <c r="G32" s="18"/>
      <c r="H32" s="18"/>
      <c r="I32" s="18"/>
      <c r="J32" s="18"/>
      <c r="K32" s="18"/>
      <c r="L32" s="18"/>
      <c r="M32" s="18"/>
      <c r="N32" s="18"/>
      <c r="O32" s="18"/>
      <c r="P32" s="18"/>
      <c r="Q32" s="18"/>
      <c r="R32" s="18"/>
      <c r="S32" s="18"/>
      <c r="T32" s="18"/>
      <c r="U32" s="18"/>
      <c r="V32" s="17"/>
      <c r="W32" s="17"/>
      <c r="X32" s="17"/>
      <c r="Y32" s="17"/>
      <c r="Z32" s="17"/>
      <c r="AA32" s="17"/>
      <c r="AB32" s="17"/>
      <c r="AC32" s="17"/>
      <c r="AD32" s="17"/>
      <c r="AE32" s="17"/>
      <c r="AF32" s="17"/>
      <c r="AG32" s="17"/>
      <c r="AH32" s="17"/>
    </row>
    <row r="33" spans="5:34" x14ac:dyDescent="0.25">
      <c r="E33" s="21"/>
      <c r="F33" s="21"/>
      <c r="G33" s="21"/>
      <c r="H33" s="21"/>
      <c r="I33" s="21"/>
      <c r="J33" s="21"/>
      <c r="K33" s="21"/>
      <c r="L33" s="21"/>
      <c r="M33" s="21"/>
      <c r="N33" s="21"/>
      <c r="O33" s="21"/>
      <c r="P33" s="21"/>
      <c r="Q33" s="21"/>
      <c r="R33" s="21"/>
      <c r="S33" s="21"/>
      <c r="T33" s="21"/>
      <c r="U33" s="21"/>
      <c r="V33" s="17"/>
      <c r="W33" s="17"/>
      <c r="X33" s="17"/>
      <c r="Y33" s="17"/>
      <c r="AC33" s="17"/>
      <c r="AD33" s="17"/>
      <c r="AE33" s="17"/>
      <c r="AF33" s="17"/>
      <c r="AG33" s="17"/>
      <c r="AH33" s="17"/>
    </row>
  </sheetData>
  <mergeCells count="1">
    <mergeCell ref="I3: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Pivot_Region</vt:lpstr>
      <vt:lpstr>Pivot_Category</vt:lpstr>
      <vt:lpstr>Pivot_Month</vt:lpstr>
      <vt:lpstr>Pivot_Year</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dc:creator>
  <cp:lastModifiedBy>utkar</cp:lastModifiedBy>
  <dcterms:created xsi:type="dcterms:W3CDTF">2026-02-21T11:55:22Z</dcterms:created>
  <dcterms:modified xsi:type="dcterms:W3CDTF">2026-02-22T12:00:07Z</dcterms:modified>
</cp:coreProperties>
</file>